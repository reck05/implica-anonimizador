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yo 24" sheetId="1" state="visible" r:id="rId1"/>
    <sheet xmlns:r="http://schemas.openxmlformats.org/officeDocument/2006/relationships" name="Junio 24" sheetId="2" state="visible" r:id="rId2"/>
    <sheet xmlns:r="http://schemas.openxmlformats.org/officeDocument/2006/relationships" name="Septiembre 24" sheetId="3" state="visible" r:id="rId3"/>
    <sheet xmlns:r="http://schemas.openxmlformats.org/officeDocument/2006/relationships" name="Octubre 24" sheetId="4" state="visible" r:id="rId4"/>
    <sheet xmlns:r="http://schemas.openxmlformats.org/officeDocument/2006/relationships" name="Mayo 25" sheetId="5" state="visible" r:id="rId5"/>
    <sheet xmlns:r="http://schemas.openxmlformats.org/officeDocument/2006/relationships" name="Agregad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Aromas y Sabores del Mediterráneo S.L.</t>
        </is>
      </c>
    </row>
    <row r="2">
      <c r="A2" t="inlineStr">
        <is>
          <t>Sumas y Saldos Mayo 24</t>
        </is>
      </c>
    </row>
    <row r="4">
      <c r="A4" s="1" t="inlineStr">
        <is>
          <t>Subcuenta</t>
        </is>
      </c>
      <c r="B4" s="1" t="inlineStr">
        <is>
          <t>Concepto</t>
        </is>
      </c>
      <c r="C4" s="1" t="inlineStr">
        <is>
          <t>Saldo Anterior</t>
        </is>
      </c>
      <c r="D4" s="1" t="inlineStr">
        <is>
          <t>Mvto. Debe</t>
        </is>
      </c>
      <c r="E4" s="1" t="inlineStr">
        <is>
          <t>Mvto. Haber</t>
        </is>
      </c>
      <c r="F4" s="1" t="inlineStr">
        <is>
          <t>Saldo Actual</t>
        </is>
      </c>
    </row>
    <row r="5">
      <c r="A5" t="inlineStr">
        <is>
          <t>100</t>
        </is>
      </c>
      <c r="B5" t="inlineStr">
        <is>
          <t>Capital social</t>
        </is>
      </c>
      <c r="C5" t="n">
        <v>2419.65</v>
      </c>
      <c r="D5" t="n">
        <v>12067.93</v>
      </c>
      <c r="E5" t="n">
        <v>52074.76</v>
      </c>
      <c r="F5" t="n">
        <v>-37587.18</v>
      </c>
    </row>
    <row r="6">
      <c r="A6" t="inlineStr">
        <is>
          <t>129</t>
        </is>
      </c>
      <c r="B6" t="inlineStr">
        <is>
          <t>Resultado del ejercicio</t>
        </is>
      </c>
      <c r="C6" t="n">
        <v>-4116.66</v>
      </c>
      <c r="D6" t="n">
        <v>42870.56</v>
      </c>
      <c r="E6" t="n">
        <v>29255.11</v>
      </c>
      <c r="F6" t="n">
        <v>9498.790000000001</v>
      </c>
    </row>
    <row r="7">
      <c r="A7" t="inlineStr">
        <is>
          <t>281</t>
        </is>
      </c>
      <c r="B7" t="inlineStr">
        <is>
          <t>Amortización acumulada del inmovilizado material</t>
        </is>
      </c>
      <c r="C7" t="n">
        <v>-4492.03</v>
      </c>
      <c r="D7" t="n">
        <v>40594.86</v>
      </c>
      <c r="E7" t="n">
        <v>2999.65</v>
      </c>
      <c r="F7" t="n">
        <v>33103.18</v>
      </c>
    </row>
    <row r="8">
      <c r="A8" t="inlineStr">
        <is>
          <t>4720</t>
        </is>
      </c>
      <c r="B8" t="inlineStr">
        <is>
          <t>H.P. IVA SOPORTADO</t>
        </is>
      </c>
      <c r="C8" t="n">
        <v>5274.79</v>
      </c>
      <c r="D8" t="n">
        <v>5588.43</v>
      </c>
      <c r="E8" t="n">
        <v>7257.04</v>
      </c>
      <c r="F8" t="n">
        <v>3606.18</v>
      </c>
    </row>
    <row r="9">
      <c r="A9" t="inlineStr">
        <is>
          <t>4770</t>
        </is>
      </c>
      <c r="B9" t="inlineStr">
        <is>
          <t>H.P. IVA REPERCUTIDO</t>
        </is>
      </c>
      <c r="C9" t="n">
        <v>5037.5</v>
      </c>
      <c r="D9" t="n">
        <v>66148.17</v>
      </c>
      <c r="E9" t="n">
        <v>9904.16</v>
      </c>
      <c r="F9" t="n">
        <v>61281.51</v>
      </c>
    </row>
    <row r="10">
      <c r="A10" t="inlineStr">
        <is>
          <t>4751</t>
        </is>
      </c>
      <c r="B10" t="inlineStr">
        <is>
          <t>H.P. Acreedora por IS</t>
        </is>
      </c>
      <c r="C10" t="n">
        <v>-195.79</v>
      </c>
      <c r="D10" t="n">
        <v>50194.66</v>
      </c>
      <c r="E10" t="n">
        <v>75816.72</v>
      </c>
      <c r="F10" t="n">
        <v>-25817.85</v>
      </c>
    </row>
    <row r="11">
      <c r="A11" t="inlineStr">
        <is>
          <t>4752</t>
        </is>
      </c>
      <c r="B11" t="inlineStr">
        <is>
          <t>H.P. Acreedora por IRPF</t>
        </is>
      </c>
      <c r="C11" t="n">
        <v>9004.68</v>
      </c>
      <c r="D11" t="n">
        <v>31734.44</v>
      </c>
      <c r="E11" t="n">
        <v>78100.41</v>
      </c>
      <c r="F11" t="n">
        <v>-37361.29</v>
      </c>
    </row>
    <row r="12">
      <c r="A12" t="inlineStr">
        <is>
          <t>4760</t>
        </is>
      </c>
      <c r="B12" t="inlineStr">
        <is>
          <t>Organismos de la Seguridad Social acreedores</t>
        </is>
      </c>
      <c r="C12" t="n">
        <v>-4788.85</v>
      </c>
      <c r="D12" t="n">
        <v>68677.48</v>
      </c>
      <c r="E12" t="n">
        <v>23168.74</v>
      </c>
      <c r="F12" t="n">
        <v>40719.89</v>
      </c>
    </row>
    <row r="13">
      <c r="A13" t="inlineStr">
        <is>
          <t>570</t>
        </is>
      </c>
      <c r="B13" t="inlineStr">
        <is>
          <t>Caja, euros</t>
        </is>
      </c>
      <c r="C13" t="n">
        <v>-2249.37</v>
      </c>
      <c r="D13" t="n">
        <v>9423.379999999999</v>
      </c>
      <c r="E13" t="n">
        <v>24678.55</v>
      </c>
      <c r="F13" t="n">
        <v>-17504.54</v>
      </c>
    </row>
    <row r="14">
      <c r="A14" t="inlineStr">
        <is>
          <t>572</t>
        </is>
      </c>
      <c r="B14" t="inlineStr">
        <is>
          <t>Bancos e instituciones de crédito c/c vista, euros</t>
        </is>
      </c>
      <c r="C14" t="n">
        <v>15219.29</v>
      </c>
      <c r="D14" t="n">
        <v>14458.11</v>
      </c>
      <c r="E14" t="n">
        <v>46528.01</v>
      </c>
      <c r="F14" t="n">
        <v>-16850.61</v>
      </c>
    </row>
    <row r="15">
      <c r="A15" t="inlineStr">
        <is>
          <t>600</t>
        </is>
      </c>
      <c r="B15" t="inlineStr">
        <is>
          <t>Compras de mercaderías</t>
        </is>
      </c>
      <c r="C15" t="n">
        <v>10611.75</v>
      </c>
      <c r="D15" t="n">
        <v>29791.8</v>
      </c>
      <c r="E15" t="n">
        <v>43819.56</v>
      </c>
      <c r="F15" t="n">
        <v>-3416.01</v>
      </c>
    </row>
    <row r="16">
      <c r="A16" t="inlineStr">
        <is>
          <t>621</t>
        </is>
      </c>
      <c r="B16" t="inlineStr">
        <is>
          <t>Arrendamientos y cánones</t>
        </is>
      </c>
      <c r="C16" t="n">
        <v>-4367.49</v>
      </c>
      <c r="D16" t="n">
        <v>4768.09</v>
      </c>
      <c r="E16" t="n">
        <v>16476.7</v>
      </c>
      <c r="F16" t="n">
        <v>-16076.1</v>
      </c>
    </row>
    <row r="17">
      <c r="A17" t="inlineStr">
        <is>
          <t>622</t>
        </is>
      </c>
      <c r="B17" t="inlineStr">
        <is>
          <t>Reparaciones y conservación</t>
        </is>
      </c>
      <c r="C17" t="n">
        <v>11690.4</v>
      </c>
      <c r="D17" t="n">
        <v>34207.38</v>
      </c>
      <c r="E17" t="n">
        <v>25131.77</v>
      </c>
      <c r="F17" t="n">
        <v>20766.01</v>
      </c>
    </row>
    <row r="18">
      <c r="A18" t="inlineStr">
        <is>
          <t>623</t>
        </is>
      </c>
      <c r="B18" t="inlineStr">
        <is>
          <t>Servicios de profesionales independientes</t>
        </is>
      </c>
      <c r="C18" t="n">
        <v>9224.610000000001</v>
      </c>
      <c r="D18" t="n">
        <v>36254.75</v>
      </c>
      <c r="E18" t="n">
        <v>23981.36</v>
      </c>
      <c r="F18" t="n">
        <v>21498</v>
      </c>
    </row>
    <row r="19">
      <c r="A19" t="inlineStr">
        <is>
          <t>624</t>
        </is>
      </c>
      <c r="B19" t="inlineStr">
        <is>
          <t>Transportes</t>
        </is>
      </c>
      <c r="C19" t="n">
        <v>14653.87</v>
      </c>
      <c r="D19" t="n">
        <v>55919.55</v>
      </c>
      <c r="E19" t="n">
        <v>19527.72</v>
      </c>
      <c r="F19" t="n">
        <v>51045.7</v>
      </c>
    </row>
    <row r="20">
      <c r="A20" t="inlineStr">
        <is>
          <t>625</t>
        </is>
      </c>
      <c r="B20" t="inlineStr">
        <is>
          <t>Primas de seguros</t>
        </is>
      </c>
      <c r="C20" t="n">
        <v>8935.02</v>
      </c>
      <c r="D20" t="n">
        <v>42015.72</v>
      </c>
      <c r="E20" t="n">
        <v>70011</v>
      </c>
      <c r="F20" t="n">
        <v>-19060.26</v>
      </c>
    </row>
    <row r="21">
      <c r="A21" t="inlineStr">
        <is>
          <t>627</t>
        </is>
      </c>
      <c r="B21" t="inlineStr">
        <is>
          <t>Publicidad, propaganda y RRPP</t>
        </is>
      </c>
      <c r="C21" t="n">
        <v>12965.58</v>
      </c>
      <c r="D21" t="n">
        <v>23035.02</v>
      </c>
      <c r="E21" t="n">
        <v>78413.99000000001</v>
      </c>
      <c r="F21" t="n">
        <v>-42413.39</v>
      </c>
    </row>
    <row r="22">
      <c r="A22" t="inlineStr">
        <is>
          <t>628</t>
        </is>
      </c>
      <c r="B22" t="inlineStr">
        <is>
          <t>Suministros</t>
        </is>
      </c>
      <c r="C22" t="n">
        <v>-2930.29</v>
      </c>
      <c r="D22" t="n">
        <v>33449.83</v>
      </c>
      <c r="E22" t="n">
        <v>60571.27</v>
      </c>
      <c r="F22" t="n">
        <v>-30051.73</v>
      </c>
    </row>
    <row r="23">
      <c r="A23" t="inlineStr">
        <is>
          <t>629</t>
        </is>
      </c>
      <c r="B23" t="inlineStr">
        <is>
          <t>Otros servicios</t>
        </is>
      </c>
      <c r="C23" t="n">
        <v>-2048.4</v>
      </c>
      <c r="D23" t="n">
        <v>39117.05</v>
      </c>
      <c r="E23" t="n">
        <v>3136.58</v>
      </c>
      <c r="F23" t="n">
        <v>33932.07</v>
      </c>
    </row>
    <row r="24">
      <c r="A24" t="inlineStr">
        <is>
          <t>630</t>
        </is>
      </c>
      <c r="B24" t="inlineStr">
        <is>
          <t>Impuesto sobre beneficios</t>
        </is>
      </c>
      <c r="C24" t="n">
        <v>11373.61</v>
      </c>
      <c r="D24" t="n">
        <v>61165.67</v>
      </c>
      <c r="E24" t="n">
        <v>45842.08</v>
      </c>
      <c r="F24" t="n">
        <v>26697.2</v>
      </c>
    </row>
    <row r="25">
      <c r="A25" t="inlineStr">
        <is>
          <t>631</t>
        </is>
      </c>
      <c r="B25" t="inlineStr">
        <is>
          <t>Otros tributos</t>
        </is>
      </c>
      <c r="C25" t="n">
        <v>16762.42</v>
      </c>
      <c r="D25" t="n">
        <v>25099.8</v>
      </c>
      <c r="E25" t="n">
        <v>55623.63</v>
      </c>
      <c r="F25" t="n">
        <v>-13761.41</v>
      </c>
    </row>
    <row r="26">
      <c r="A26" t="inlineStr">
        <is>
          <t>640</t>
        </is>
      </c>
      <c r="B26" t="inlineStr">
        <is>
          <t>Sueldos y salarios</t>
        </is>
      </c>
      <c r="C26" t="n">
        <v>9453.620000000001</v>
      </c>
      <c r="D26" t="n">
        <v>46391.62</v>
      </c>
      <c r="E26" t="n">
        <v>36496.43</v>
      </c>
      <c r="F26" t="n">
        <v>19348.81</v>
      </c>
    </row>
    <row r="27">
      <c r="A27" t="inlineStr">
        <is>
          <t>642</t>
        </is>
      </c>
      <c r="B27" t="inlineStr">
        <is>
          <t>Seguridad Social a cargo de la empresa</t>
        </is>
      </c>
      <c r="C27" t="n">
        <v>15839.16</v>
      </c>
      <c r="D27" t="n">
        <v>75574.49000000001</v>
      </c>
      <c r="E27" t="n">
        <v>37927.87</v>
      </c>
      <c r="F27" t="n">
        <v>53485.78</v>
      </c>
    </row>
    <row r="28">
      <c r="A28" t="inlineStr">
        <is>
          <t>700</t>
        </is>
      </c>
      <c r="B28" t="inlineStr">
        <is>
          <t>Ventas de mercaderías</t>
        </is>
      </c>
      <c r="C28" t="n">
        <v>11267.96</v>
      </c>
      <c r="D28" t="n">
        <v>4853.55</v>
      </c>
      <c r="E28" t="n">
        <v>56119.36</v>
      </c>
      <c r="F28" t="n">
        <v>-39997.85</v>
      </c>
    </row>
    <row r="29">
      <c r="A29" t="inlineStr">
        <is>
          <t>705</t>
        </is>
      </c>
      <c r="B29" t="inlineStr">
        <is>
          <t>Prestaciones de servicios</t>
        </is>
      </c>
      <c r="C29" t="n">
        <v>10825.35</v>
      </c>
      <c r="D29" t="n">
        <v>79447.67999999999</v>
      </c>
      <c r="E29" t="n">
        <v>65753.98</v>
      </c>
      <c r="F29" t="n">
        <v>24519.05</v>
      </c>
    </row>
    <row r="30">
      <c r="A30" t="inlineStr">
        <is>
          <t>4300000001</t>
        </is>
      </c>
      <c r="B30" t="inlineStr">
        <is>
          <t>BANCO SABADELL, S.A.</t>
        </is>
      </c>
      <c r="C30" t="n">
        <v>1049.61</v>
      </c>
      <c r="D30" t="n">
        <v>23147.49</v>
      </c>
      <c r="E30" t="n">
        <v>40119.16</v>
      </c>
      <c r="F30" t="n">
        <v>-15922.06</v>
      </c>
    </row>
    <row r="31">
      <c r="A31" t="inlineStr">
        <is>
          <t>4300000002</t>
        </is>
      </c>
      <c r="B31" t="inlineStr">
        <is>
          <t>CAIXABANK, SA</t>
        </is>
      </c>
      <c r="C31" t="n">
        <v>-4060.02</v>
      </c>
      <c r="D31" t="n">
        <v>27701.72</v>
      </c>
      <c r="E31" t="n">
        <v>10082.9</v>
      </c>
      <c r="F31" t="n">
        <v>13558.8</v>
      </c>
    </row>
    <row r="32">
      <c r="A32" t="inlineStr">
        <is>
          <t>4300000003</t>
        </is>
      </c>
      <c r="B32" t="inlineStr">
        <is>
          <t>PREVENPYME, SL</t>
        </is>
      </c>
      <c r="C32" t="n">
        <v>-2216.63</v>
      </c>
      <c r="D32" t="n">
        <v>3537.27</v>
      </c>
      <c r="E32" t="n">
        <v>46093.98</v>
      </c>
      <c r="F32" t="n">
        <v>-44773.34</v>
      </c>
    </row>
    <row r="33">
      <c r="A33" t="inlineStr">
        <is>
          <t>4300000004</t>
        </is>
      </c>
      <c r="B33" t="inlineStr">
        <is>
          <t>EVENTOS MEDITERRÁNEOS, SL</t>
        </is>
      </c>
      <c r="C33" t="n">
        <v>-1977.87</v>
      </c>
      <c r="D33" t="n">
        <v>14856.89</v>
      </c>
      <c r="E33" t="n">
        <v>23456.98</v>
      </c>
      <c r="F33" t="n">
        <v>-10577.96</v>
      </c>
    </row>
    <row r="34">
      <c r="A34" t="inlineStr">
        <is>
          <t>4300000005</t>
        </is>
      </c>
      <c r="B34" t="inlineStr">
        <is>
          <t>DISTRIBUCIONES BADIA</t>
        </is>
      </c>
      <c r="C34" t="n">
        <v>12492.73</v>
      </c>
      <c r="D34" t="n">
        <v>4834.88</v>
      </c>
      <c r="E34" t="n">
        <v>26951.24</v>
      </c>
      <c r="F34" t="n">
        <v>-9623.629999999999</v>
      </c>
    </row>
    <row r="35">
      <c r="A35" t="inlineStr">
        <is>
          <t>4300000006</t>
        </is>
      </c>
      <c r="B35" t="inlineStr">
        <is>
          <t>INMOBILIARIA TUSET SLU</t>
        </is>
      </c>
      <c r="C35" t="n">
        <v>6214.08</v>
      </c>
      <c r="D35" t="n">
        <v>53003.03</v>
      </c>
      <c r="E35" t="n">
        <v>49156.79</v>
      </c>
      <c r="F35" t="n">
        <v>10060.32</v>
      </c>
    </row>
    <row r="36">
      <c r="A36" t="inlineStr">
        <is>
          <t>4300000007</t>
        </is>
      </c>
      <c r="B36" t="inlineStr">
        <is>
          <t>ASESORÍA MIRALLES</t>
        </is>
      </c>
      <c r="C36" t="n">
        <v>12347.7</v>
      </c>
      <c r="D36" t="n">
        <v>16705.26</v>
      </c>
      <c r="E36" t="n">
        <v>24917.79</v>
      </c>
      <c r="F36" t="n">
        <v>4135.17</v>
      </c>
    </row>
    <row r="37">
      <c r="A37" t="inlineStr">
        <is>
          <t>4300000008</t>
        </is>
      </c>
      <c r="B37" t="inlineStr">
        <is>
          <t>FRUTAS CARIÑENA S.L.</t>
        </is>
      </c>
      <c r="C37" t="n">
        <v>2496.04</v>
      </c>
      <c r="D37" t="n">
        <v>53051.57</v>
      </c>
      <c r="E37" t="n">
        <v>57463.87</v>
      </c>
      <c r="F37" t="n">
        <v>-1916.26</v>
      </c>
    </row>
    <row r="38">
      <c r="A38" t="inlineStr">
        <is>
          <t>4300000009</t>
        </is>
      </c>
      <c r="B38" t="inlineStr">
        <is>
          <t>ARNAU TORRES DKAIDEK</t>
        </is>
      </c>
      <c r="C38" t="n">
        <v>-1557.04</v>
      </c>
      <c r="D38" t="n">
        <v>10573.06</v>
      </c>
      <c r="E38" t="n">
        <v>13917.41</v>
      </c>
      <c r="F38" t="n">
        <v>-4901.39</v>
      </c>
    </row>
    <row r="39">
      <c r="A39" t="inlineStr">
        <is>
          <t>4300000010</t>
        </is>
      </c>
      <c r="B39" t="inlineStr">
        <is>
          <t>NATALIA POLO CHOCANO</t>
        </is>
      </c>
      <c r="C39" t="n">
        <v>50.05</v>
      </c>
      <c r="D39" t="n">
        <v>29097.76</v>
      </c>
      <c r="E39" t="n">
        <v>35347.41</v>
      </c>
      <c r="F39" t="n">
        <v>-6199.6</v>
      </c>
    </row>
    <row r="40">
      <c r="A40" t="inlineStr">
        <is>
          <t>4300000011</t>
        </is>
      </c>
      <c r="B40" t="inlineStr">
        <is>
          <t>ADRIANA HUERTAS</t>
        </is>
      </c>
      <c r="C40" t="n">
        <v>623.5599999999999</v>
      </c>
      <c r="D40" t="n">
        <v>245.62</v>
      </c>
      <c r="E40" t="n">
        <v>25136.79</v>
      </c>
      <c r="F40" t="n">
        <v>-24267.61</v>
      </c>
    </row>
    <row r="41">
      <c r="A41" t="inlineStr">
        <is>
          <t>4300000012</t>
        </is>
      </c>
      <c r="B41" t="inlineStr">
        <is>
          <t>HORTENSIA HERRERO</t>
        </is>
      </c>
      <c r="C41" t="n">
        <v>2700.44</v>
      </c>
      <c r="D41" t="n">
        <v>33980.47</v>
      </c>
      <c r="E41" t="n">
        <v>57185.88</v>
      </c>
      <c r="F41" t="n">
        <v>-20504.97</v>
      </c>
    </row>
    <row r="42">
      <c r="A42" t="inlineStr">
        <is>
          <t>4300000013</t>
        </is>
      </c>
      <c r="B42" t="inlineStr">
        <is>
          <t>FUNDACIÓN ARTE HORTENSIA HERRERO</t>
        </is>
      </c>
      <c r="C42" t="n">
        <v>8964.629999999999</v>
      </c>
      <c r="D42" t="n">
        <v>30929.49</v>
      </c>
      <c r="E42" t="n">
        <v>37055.56</v>
      </c>
      <c r="F42" t="n">
        <v>2838.56</v>
      </c>
    </row>
    <row r="43">
      <c r="A43" t="inlineStr">
        <is>
          <t>4300000014</t>
        </is>
      </c>
      <c r="B43" t="inlineStr">
        <is>
          <t>TALLERES MONTANER</t>
        </is>
      </c>
      <c r="C43" t="n">
        <v>8685.9</v>
      </c>
      <c r="D43" t="n">
        <v>3239.57</v>
      </c>
      <c r="E43" t="n">
        <v>53971.98</v>
      </c>
      <c r="F43" t="n">
        <v>-42046.51</v>
      </c>
    </row>
    <row r="44">
      <c r="A44" t="inlineStr">
        <is>
          <t>4300000015</t>
        </is>
      </c>
      <c r="B44" t="inlineStr">
        <is>
          <t>BENLLOCH Y ASOCIADOS</t>
        </is>
      </c>
      <c r="C44" t="n">
        <v>10709.41</v>
      </c>
      <c r="D44" t="n">
        <v>52470.79</v>
      </c>
      <c r="E44" t="n">
        <v>47872.39</v>
      </c>
      <c r="F44" t="n">
        <v>15307.81</v>
      </c>
    </row>
    <row r="45">
      <c r="A45" t="inlineStr">
        <is>
          <t>4300000016</t>
        </is>
      </c>
      <c r="B45" t="inlineStr">
        <is>
          <t>MODICA E HIJOS S.L.</t>
        </is>
      </c>
      <c r="C45" t="n">
        <v>3151.39</v>
      </c>
      <c r="D45" t="n">
        <v>23938.73</v>
      </c>
      <c r="E45" t="n">
        <v>6212.23</v>
      </c>
      <c r="F45" t="n">
        <v>20877.89</v>
      </c>
    </row>
    <row r="46">
      <c r="A46" t="inlineStr">
        <is>
          <t>4300000017</t>
        </is>
      </c>
      <c r="B46" t="inlineStr">
        <is>
          <t>ASENSI CONSULTORES</t>
        </is>
      </c>
      <c r="C46" t="n">
        <v>7868.65</v>
      </c>
      <c r="D46" t="n">
        <v>3734.87</v>
      </c>
      <c r="E46" t="n">
        <v>4040.86</v>
      </c>
      <c r="F46" t="n">
        <v>7562.66</v>
      </c>
    </row>
    <row r="47">
      <c r="A47" t="inlineStr">
        <is>
          <t>4300000018</t>
        </is>
      </c>
      <c r="B47" t="inlineStr">
        <is>
          <t>RIERA INVERSIONES SL</t>
        </is>
      </c>
      <c r="C47" t="n">
        <v>-429.12</v>
      </c>
      <c r="D47" t="n">
        <v>9738.190000000001</v>
      </c>
      <c r="E47" t="n">
        <v>20403.22</v>
      </c>
      <c r="F47" t="n">
        <v>-11094.15</v>
      </c>
    </row>
    <row r="48">
      <c r="A48" t="inlineStr">
        <is>
          <t>4300000019</t>
        </is>
      </c>
      <c r="B48" t="inlineStr">
        <is>
          <t>BELLO LOGÍSTICA</t>
        </is>
      </c>
      <c r="C48" t="n">
        <v>-3474.78</v>
      </c>
      <c r="D48" t="n">
        <v>14</v>
      </c>
      <c r="E48" t="n">
        <v>9075.9</v>
      </c>
      <c r="F48" t="n">
        <v>-12536.68</v>
      </c>
    </row>
    <row r="49">
      <c r="A49" t="inlineStr">
        <is>
          <t>4300000020</t>
        </is>
      </c>
      <c r="B49" t="inlineStr">
        <is>
          <t>VALCARCEL HERMANOS</t>
        </is>
      </c>
      <c r="C49" t="n">
        <v>-2521.44</v>
      </c>
      <c r="D49" t="n">
        <v>21816.6</v>
      </c>
      <c r="E49" t="n">
        <v>1530.05</v>
      </c>
      <c r="F49" t="n">
        <v>17765.11</v>
      </c>
    </row>
    <row r="50">
      <c r="A50" t="inlineStr">
        <is>
          <t>4400000001</t>
        </is>
      </c>
      <c r="B50" t="inlineStr">
        <is>
          <t>PRÉSTAMOS A C/P JUAN PEDRO</t>
        </is>
      </c>
      <c r="C50" t="n">
        <v>12549.48</v>
      </c>
      <c r="D50" t="n">
        <v>36844.14</v>
      </c>
      <c r="E50" t="n">
        <v>8913.030000000001</v>
      </c>
      <c r="F50" t="n">
        <v>40480.59</v>
      </c>
    </row>
    <row r="51">
      <c r="A51" t="inlineStr">
        <is>
          <t>4400000002</t>
        </is>
      </c>
      <c r="B51" t="inlineStr">
        <is>
          <t>CRÉDITOS A C/P MIGUEL CAMACHO</t>
        </is>
      </c>
      <c r="C51" t="n">
        <v>419.03</v>
      </c>
      <c r="D51" t="n">
        <v>20843.37</v>
      </c>
      <c r="E51" t="n">
        <v>21849.81</v>
      </c>
      <c r="F51" t="n">
        <v>-587.41</v>
      </c>
    </row>
    <row r="52">
      <c r="A52" t="inlineStr">
        <is>
          <t>4400000003</t>
        </is>
      </c>
      <c r="B52" t="inlineStr">
        <is>
          <t>ANTICIPO LAURA GURREA</t>
        </is>
      </c>
      <c r="C52" t="n">
        <v>-2104.58</v>
      </c>
      <c r="D52" t="n">
        <v>50936.22</v>
      </c>
      <c r="E52" t="n">
        <v>59586.16</v>
      </c>
      <c r="F52" t="n">
        <v>-10754.52</v>
      </c>
    </row>
    <row r="53">
      <c r="A53" t="inlineStr">
        <is>
          <t>4400000004</t>
        </is>
      </c>
      <c r="B53" t="inlineStr">
        <is>
          <t>ANTICIPO BEATRIZ HERGUETA</t>
        </is>
      </c>
      <c r="C53" t="n">
        <v>4586.79</v>
      </c>
      <c r="D53" t="n">
        <v>29030.08</v>
      </c>
      <c r="E53" t="n">
        <v>5153.08</v>
      </c>
      <c r="F53" t="n">
        <v>28463.79</v>
      </c>
    </row>
    <row r="54">
      <c r="A54" t="inlineStr">
        <is>
          <t>4400000005</t>
        </is>
      </c>
      <c r="B54" t="inlineStr">
        <is>
          <t>ANTICIPO CAROLINA LLARIO</t>
        </is>
      </c>
      <c r="C54" t="n">
        <v>-2507.34</v>
      </c>
      <c r="D54" t="n">
        <v>20558.15</v>
      </c>
      <c r="E54" t="n">
        <v>15885.41</v>
      </c>
      <c r="F54" t="n">
        <v>2165.4</v>
      </c>
    </row>
    <row r="55">
      <c r="A55" t="inlineStr">
        <is>
          <t>4400000006</t>
        </is>
      </c>
      <c r="B55" t="inlineStr">
        <is>
          <t>ANTICIPO CLARA SANTAMARIA</t>
        </is>
      </c>
      <c r="C55" t="n">
        <v>11662.68</v>
      </c>
      <c r="D55" t="n">
        <v>9686.32</v>
      </c>
      <c r="E55" t="n">
        <v>1385.74</v>
      </c>
      <c r="F55" t="n">
        <v>19963.26</v>
      </c>
    </row>
    <row r="56">
      <c r="A56" t="inlineStr">
        <is>
          <t>4100000001</t>
        </is>
      </c>
      <c r="B56" t="inlineStr">
        <is>
          <t>DISTRIBUCIONES CHUST S.L.</t>
        </is>
      </c>
      <c r="C56" t="n">
        <v>14044.22</v>
      </c>
      <c r="D56" t="n">
        <v>31695.44</v>
      </c>
      <c r="E56" t="n">
        <v>8796.15</v>
      </c>
      <c r="F56" t="n">
        <v>36943.51</v>
      </c>
    </row>
    <row r="57">
      <c r="A57" t="inlineStr">
        <is>
          <t>4100000002</t>
        </is>
      </c>
      <c r="B57" t="inlineStr">
        <is>
          <t>MAYORISTAS LAMATA</t>
        </is>
      </c>
      <c r="C57" t="n">
        <v>6091.86</v>
      </c>
      <c r="D57" t="n">
        <v>1622.55</v>
      </c>
      <c r="E57" t="n">
        <v>31686.57</v>
      </c>
      <c r="F57" t="n">
        <v>-23972.16</v>
      </c>
    </row>
    <row r="58">
      <c r="A58" t="inlineStr">
        <is>
          <t>4100000003</t>
        </is>
      </c>
      <c r="B58" t="inlineStr">
        <is>
          <t>TR LOGÍSTICA Y TRANSPORTES JUAN LARA SL</t>
        </is>
      </c>
      <c r="C58" t="n">
        <v>14580.77</v>
      </c>
      <c r="D58" t="n">
        <v>51799.5</v>
      </c>
      <c r="E58" t="n">
        <v>41771.81</v>
      </c>
      <c r="F58" t="n">
        <v>24608.46</v>
      </c>
    </row>
    <row r="59">
      <c r="A59" t="inlineStr">
        <is>
          <t>4100000004</t>
        </is>
      </c>
      <c r="B59" t="inlineStr">
        <is>
          <t>PUBLICIDAD ALBA EVENTOS</t>
        </is>
      </c>
      <c r="C59" t="n">
        <v>591.75</v>
      </c>
      <c r="D59" t="n">
        <v>22001.99</v>
      </c>
      <c r="E59" t="n">
        <v>10022.52</v>
      </c>
      <c r="F59" t="n">
        <v>12571.22</v>
      </c>
    </row>
    <row r="60">
      <c r="A60" t="inlineStr">
        <is>
          <t>99000</t>
        </is>
      </c>
      <c r="B60" t="inlineStr">
        <is>
          <t>FÓRMULA EXTERNA 0</t>
        </is>
      </c>
      <c r="C60">
        <f>SUMIFS('Mayo 25'!$E:$E,'Mayo 25'!$A:$A,A10)</f>
        <v/>
      </c>
      <c r="D60">
        <f>+AB10+BK10</f>
        <v/>
      </c>
      <c r="E60">
        <f>SUMIFS('Septiembre 25'!$F:$F,'Septiembre 25'!$A:$A,A20)</f>
        <v/>
      </c>
      <c r="F60">
        <f>H10+AQ10-SUMIFS('Octubre 25'!$F:$F,'Octubre 25'!$A:$A,A10)</f>
        <v/>
      </c>
    </row>
    <row r="61">
      <c r="A61" t="inlineStr">
        <is>
          <t>99001</t>
        </is>
      </c>
      <c r="B61" t="inlineStr">
        <is>
          <t>FÓRMULA EXTERNA 1</t>
        </is>
      </c>
      <c r="C61">
        <f>SUMIFS('Mayo 25'!$E:$E,'Mayo 25'!$A:$A,A11)</f>
        <v/>
      </c>
      <c r="D61">
        <f>+AB11+BK11</f>
        <v/>
      </c>
      <c r="E61">
        <f>SUMIFS('Septiembre 25'!$F:$F,'Septiembre 25'!$A:$A,A21)</f>
        <v/>
      </c>
      <c r="F61">
        <f>H11+AQ11-SUMIFS('Octubre 25'!$F:$F,'Octubre 25'!$A:$A,A11)</f>
        <v/>
      </c>
    </row>
    <row r="62">
      <c r="A62" t="inlineStr">
        <is>
          <t>99002</t>
        </is>
      </c>
      <c r="B62" t="inlineStr">
        <is>
          <t>FÓRMULA EXTERNA 2</t>
        </is>
      </c>
      <c r="C62">
        <f>SUMIFS('Mayo 25'!$E:$E,'Mayo 25'!$A:$A,A12)</f>
        <v/>
      </c>
      <c r="D62">
        <f>+AB12+BK12</f>
        <v/>
      </c>
      <c r="E62">
        <f>SUMIFS('Septiembre 25'!$F:$F,'Septiembre 25'!$A:$A,A22)</f>
        <v/>
      </c>
      <c r="F62">
        <f>H12+AQ12-SUMIFS('Octubre 25'!$F:$F,'Octubre 25'!$A:$A,A12)</f>
        <v/>
      </c>
    </row>
    <row r="63">
      <c r="A63" t="inlineStr">
        <is>
          <t>99003</t>
        </is>
      </c>
      <c r="B63" t="inlineStr">
        <is>
          <t>FÓRMULA EXTERNA 3</t>
        </is>
      </c>
      <c r="C63">
        <f>SUMIFS('Mayo 25'!$E:$E,'Mayo 25'!$A:$A,A13)</f>
        <v/>
      </c>
      <c r="D63">
        <f>+AB13+BK13</f>
        <v/>
      </c>
      <c r="E63">
        <f>SUMIFS('Septiembre 25'!$F:$F,'Septiembre 25'!$A:$A,A23)</f>
        <v/>
      </c>
      <c r="F63">
        <f>H13+AQ13-SUMIFS('Octubre 25'!$F:$F,'Octubre 25'!$A:$A,A13)</f>
        <v/>
      </c>
    </row>
    <row r="64">
      <c r="A64" t="inlineStr">
        <is>
          <t>99004</t>
        </is>
      </c>
      <c r="B64" t="inlineStr">
        <is>
          <t>FÓRMULA EXTERNA 4</t>
        </is>
      </c>
      <c r="C64">
        <f>SUMIFS('Mayo 25'!$E:$E,'Mayo 25'!$A:$A,A14)</f>
        <v/>
      </c>
      <c r="D64">
        <f>+AB14+BK14</f>
        <v/>
      </c>
      <c r="E64">
        <f>SUMIFS('Septiembre 25'!$F:$F,'Septiembre 25'!$A:$A,A24)</f>
        <v/>
      </c>
      <c r="F64">
        <f>H14+AQ14-SUMIFS('Octubre 25'!$F:$F,'Octubre 25'!$A:$A,A14)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Aromas y Sabores del Mediterráneo S.L.</t>
        </is>
      </c>
    </row>
    <row r="2">
      <c r="A2" t="inlineStr">
        <is>
          <t>Sumas y Saldos Junio 24</t>
        </is>
      </c>
    </row>
    <row r="4">
      <c r="A4" s="1" t="inlineStr">
        <is>
          <t>Subcuenta</t>
        </is>
      </c>
      <c r="B4" s="1" t="inlineStr">
        <is>
          <t>Concepto</t>
        </is>
      </c>
      <c r="C4" s="1" t="inlineStr">
        <is>
          <t>Saldo Anterior</t>
        </is>
      </c>
      <c r="D4" s="1" t="inlineStr">
        <is>
          <t>Mvto. Debe</t>
        </is>
      </c>
      <c r="E4" s="1" t="inlineStr">
        <is>
          <t>Mvto. Haber</t>
        </is>
      </c>
      <c r="F4" s="1" t="inlineStr">
        <is>
          <t>Saldo Actual</t>
        </is>
      </c>
    </row>
    <row r="5">
      <c r="A5" t="inlineStr">
        <is>
          <t>100</t>
        </is>
      </c>
      <c r="B5" t="inlineStr">
        <is>
          <t>Capital social</t>
        </is>
      </c>
      <c r="C5" t="n">
        <v>14070.39</v>
      </c>
      <c r="D5" t="n">
        <v>42607.39</v>
      </c>
      <c r="E5" t="n">
        <v>62324.39</v>
      </c>
      <c r="F5" t="n">
        <v>-5646.61</v>
      </c>
    </row>
    <row r="6">
      <c r="A6" t="inlineStr">
        <is>
          <t>129</t>
        </is>
      </c>
      <c r="B6" t="inlineStr">
        <is>
          <t>Resultado del ejercicio</t>
        </is>
      </c>
      <c r="C6" t="n">
        <v>2571.29</v>
      </c>
      <c r="D6" t="n">
        <v>17843.33</v>
      </c>
      <c r="E6" t="n">
        <v>64920.9</v>
      </c>
      <c r="F6" t="n">
        <v>-44506.28</v>
      </c>
    </row>
    <row r="7">
      <c r="A7" t="inlineStr">
        <is>
          <t>281</t>
        </is>
      </c>
      <c r="B7" t="inlineStr">
        <is>
          <t>Amortización acumulada del inmovilizado material</t>
        </is>
      </c>
      <c r="C7" t="n">
        <v>19608.08</v>
      </c>
      <c r="D7" t="n">
        <v>68210.3</v>
      </c>
      <c r="E7" t="n">
        <v>64486.29</v>
      </c>
      <c r="F7" t="n">
        <v>23332.09</v>
      </c>
    </row>
    <row r="8">
      <c r="A8" t="inlineStr">
        <is>
          <t>4720</t>
        </is>
      </c>
      <c r="B8" t="inlineStr">
        <is>
          <t>H.P. IVA SOPORTADO</t>
        </is>
      </c>
      <c r="C8" t="n">
        <v>15276.66</v>
      </c>
      <c r="D8" t="n">
        <v>59189.84</v>
      </c>
      <c r="E8" t="n">
        <v>18139.16</v>
      </c>
      <c r="F8" t="n">
        <v>56327.34</v>
      </c>
    </row>
    <row r="9">
      <c r="A9" t="inlineStr">
        <is>
          <t>4770</t>
        </is>
      </c>
      <c r="B9" t="inlineStr">
        <is>
          <t>H.P. IVA REPERCUTIDO</t>
        </is>
      </c>
      <c r="C9" t="n">
        <v>7458.61</v>
      </c>
      <c r="D9" t="n">
        <v>28445</v>
      </c>
      <c r="E9" t="n">
        <v>2318.41</v>
      </c>
      <c r="F9" t="n">
        <v>33585.2</v>
      </c>
    </row>
    <row r="10">
      <c r="A10" t="inlineStr">
        <is>
          <t>4751</t>
        </is>
      </c>
      <c r="B10" t="inlineStr">
        <is>
          <t>H.P. Acreedora por IS</t>
        </is>
      </c>
      <c r="C10" t="n">
        <v>-5273.64</v>
      </c>
      <c r="D10" t="n">
        <v>22353.48</v>
      </c>
      <c r="E10" t="n">
        <v>20733.95</v>
      </c>
      <c r="F10" t="n">
        <v>-3654.11</v>
      </c>
    </row>
    <row r="11">
      <c r="A11" t="inlineStr">
        <is>
          <t>4752</t>
        </is>
      </c>
      <c r="B11" t="inlineStr">
        <is>
          <t>H.P. Acreedora por IRPF</t>
        </is>
      </c>
      <c r="C11" t="n">
        <v>12005.57</v>
      </c>
      <c r="D11" t="n">
        <v>76521.21000000001</v>
      </c>
      <c r="E11" t="n">
        <v>35778.21</v>
      </c>
      <c r="F11" t="n">
        <v>52748.57</v>
      </c>
    </row>
    <row r="12">
      <c r="A12" t="inlineStr">
        <is>
          <t>4760</t>
        </is>
      </c>
      <c r="B12" t="inlineStr">
        <is>
          <t>Organismos de la Seguridad Social acreedores</t>
        </is>
      </c>
      <c r="C12" t="n">
        <v>18362.55</v>
      </c>
      <c r="D12" t="n">
        <v>79043.03999999999</v>
      </c>
      <c r="E12" t="n">
        <v>76400.05</v>
      </c>
      <c r="F12" t="n">
        <v>21005.54</v>
      </c>
    </row>
    <row r="13">
      <c r="A13" t="inlineStr">
        <is>
          <t>570</t>
        </is>
      </c>
      <c r="B13" t="inlineStr">
        <is>
          <t>Caja, euros</t>
        </is>
      </c>
      <c r="C13" t="n">
        <v>3480.53</v>
      </c>
      <c r="D13" t="n">
        <v>17636.99</v>
      </c>
      <c r="E13" t="n">
        <v>18147.67</v>
      </c>
      <c r="F13" t="n">
        <v>2969.85</v>
      </c>
    </row>
    <row r="14">
      <c r="A14" t="inlineStr">
        <is>
          <t>572</t>
        </is>
      </c>
      <c r="B14" t="inlineStr">
        <is>
          <t>Bancos e instituciones de crédito c/c vista, euros</t>
        </is>
      </c>
      <c r="C14" t="n">
        <v>-885.64</v>
      </c>
      <c r="D14" t="n">
        <v>16349.87</v>
      </c>
      <c r="E14" t="n">
        <v>49925.31</v>
      </c>
      <c r="F14" t="n">
        <v>-34461.08</v>
      </c>
    </row>
    <row r="15">
      <c r="A15" t="inlineStr">
        <is>
          <t>600</t>
        </is>
      </c>
      <c r="B15" t="inlineStr">
        <is>
          <t>Compras de mercaderías</t>
        </is>
      </c>
      <c r="C15" t="n">
        <v>17408.02</v>
      </c>
      <c r="D15" t="n">
        <v>67234.84</v>
      </c>
      <c r="E15" t="n">
        <v>38357.87</v>
      </c>
      <c r="F15" t="n">
        <v>46284.99</v>
      </c>
    </row>
    <row r="16">
      <c r="A16" t="inlineStr">
        <is>
          <t>621</t>
        </is>
      </c>
      <c r="B16" t="inlineStr">
        <is>
          <t>Arrendamientos y cánones</t>
        </is>
      </c>
      <c r="C16" t="n">
        <v>10977.43</v>
      </c>
      <c r="D16" t="n">
        <v>63971.5</v>
      </c>
      <c r="E16" t="n">
        <v>6782.28</v>
      </c>
      <c r="F16" t="n">
        <v>68166.64999999999</v>
      </c>
    </row>
    <row r="17">
      <c r="A17" t="inlineStr">
        <is>
          <t>622</t>
        </is>
      </c>
      <c r="B17" t="inlineStr">
        <is>
          <t>Reparaciones y conservación</t>
        </is>
      </c>
      <c r="C17" t="n">
        <v>11175.23</v>
      </c>
      <c r="D17" t="n">
        <v>72782.17</v>
      </c>
      <c r="E17" t="n">
        <v>62584.23</v>
      </c>
      <c r="F17" t="n">
        <v>21373.17</v>
      </c>
    </row>
    <row r="18">
      <c r="A18" t="inlineStr">
        <is>
          <t>623</t>
        </is>
      </c>
      <c r="B18" t="inlineStr">
        <is>
          <t>Servicios de profesionales independientes</t>
        </is>
      </c>
      <c r="C18" t="n">
        <v>13503.65</v>
      </c>
      <c r="D18" t="n">
        <v>38242.62</v>
      </c>
      <c r="E18" t="n">
        <v>14281.74</v>
      </c>
      <c r="F18" t="n">
        <v>37464.53</v>
      </c>
    </row>
    <row r="19">
      <c r="A19" t="inlineStr">
        <is>
          <t>624</t>
        </is>
      </c>
      <c r="B19" t="inlineStr">
        <is>
          <t>Transportes</t>
        </is>
      </c>
      <c r="C19" t="n">
        <v>14517.52</v>
      </c>
      <c r="D19" t="n">
        <v>26601.38</v>
      </c>
      <c r="E19" t="n">
        <v>64065.89</v>
      </c>
      <c r="F19" t="n">
        <v>-22946.99</v>
      </c>
    </row>
    <row r="20">
      <c r="A20" t="inlineStr">
        <is>
          <t>625</t>
        </is>
      </c>
      <c r="B20" t="inlineStr">
        <is>
          <t>Primas de seguros</t>
        </is>
      </c>
      <c r="C20" t="n">
        <v>19263.09</v>
      </c>
      <c r="D20" t="n">
        <v>31667.08</v>
      </c>
      <c r="E20" t="n">
        <v>32110.95</v>
      </c>
      <c r="F20" t="n">
        <v>18819.22</v>
      </c>
    </row>
    <row r="21">
      <c r="A21" t="inlineStr">
        <is>
          <t>627</t>
        </is>
      </c>
      <c r="B21" t="inlineStr">
        <is>
          <t>Publicidad, propaganda y RRPP</t>
        </is>
      </c>
      <c r="C21" t="n">
        <v>18616.72</v>
      </c>
      <c r="D21" t="n">
        <v>57983.89</v>
      </c>
      <c r="E21" t="n">
        <v>13600.29</v>
      </c>
      <c r="F21" t="n">
        <v>63000.32</v>
      </c>
    </row>
    <row r="22">
      <c r="A22" t="inlineStr">
        <is>
          <t>628</t>
        </is>
      </c>
      <c r="B22" t="inlineStr">
        <is>
          <t>Suministros</t>
        </is>
      </c>
      <c r="C22" t="n">
        <v>-2697</v>
      </c>
      <c r="D22" t="n">
        <v>12092.06</v>
      </c>
      <c r="E22" t="n">
        <v>72388.17</v>
      </c>
      <c r="F22" t="n">
        <v>-62993.11</v>
      </c>
    </row>
    <row r="23">
      <c r="A23" t="inlineStr">
        <is>
          <t>629</t>
        </is>
      </c>
      <c r="B23" t="inlineStr">
        <is>
          <t>Otros servicios</t>
        </is>
      </c>
      <c r="C23" t="n">
        <v>14969.05</v>
      </c>
      <c r="D23" t="n">
        <v>11693.94</v>
      </c>
      <c r="E23" t="n">
        <v>66120.84</v>
      </c>
      <c r="F23" t="n">
        <v>-39457.85</v>
      </c>
    </row>
    <row r="24">
      <c r="A24" t="inlineStr">
        <is>
          <t>630</t>
        </is>
      </c>
      <c r="B24" t="inlineStr">
        <is>
          <t>Impuesto sobre beneficios</t>
        </is>
      </c>
      <c r="C24" t="n">
        <v>19487.95</v>
      </c>
      <c r="D24" t="n">
        <v>52581.46</v>
      </c>
      <c r="E24" t="n">
        <v>28032.6</v>
      </c>
      <c r="F24" t="n">
        <v>44036.81</v>
      </c>
    </row>
    <row r="25">
      <c r="A25" t="inlineStr">
        <is>
          <t>631</t>
        </is>
      </c>
      <c r="B25" t="inlineStr">
        <is>
          <t>Otros tributos</t>
        </is>
      </c>
      <c r="C25" t="n">
        <v>8265.16</v>
      </c>
      <c r="D25" t="n">
        <v>10478.71</v>
      </c>
      <c r="E25" t="n">
        <v>1139.44</v>
      </c>
      <c r="F25" t="n">
        <v>17604.43</v>
      </c>
    </row>
    <row r="26">
      <c r="A26" t="inlineStr">
        <is>
          <t>640</t>
        </is>
      </c>
      <c r="B26" t="inlineStr">
        <is>
          <t>Sueldos y salarios</t>
        </is>
      </c>
      <c r="C26" t="n">
        <v>19243.14</v>
      </c>
      <c r="D26" t="n">
        <v>51973.97</v>
      </c>
      <c r="E26" t="n">
        <v>42126.48</v>
      </c>
      <c r="F26" t="n">
        <v>29090.63</v>
      </c>
    </row>
    <row r="27">
      <c r="A27" t="inlineStr">
        <is>
          <t>642</t>
        </is>
      </c>
      <c r="B27" t="inlineStr">
        <is>
          <t>Seguridad Social a cargo de la empresa</t>
        </is>
      </c>
      <c r="C27" t="n">
        <v>18274.24</v>
      </c>
      <c r="D27" t="n">
        <v>34704.75</v>
      </c>
      <c r="E27" t="n">
        <v>69739.42999999999</v>
      </c>
      <c r="F27" t="n">
        <v>-16760.44</v>
      </c>
    </row>
    <row r="28">
      <c r="A28" t="inlineStr">
        <is>
          <t>700</t>
        </is>
      </c>
      <c r="B28" t="inlineStr">
        <is>
          <t>Ventas de mercaderías</t>
        </is>
      </c>
      <c r="C28" t="n">
        <v>15480.04</v>
      </c>
      <c r="D28" t="n">
        <v>16883.39</v>
      </c>
      <c r="E28" t="n">
        <v>20146.78</v>
      </c>
      <c r="F28" t="n">
        <v>12216.65</v>
      </c>
    </row>
    <row r="29">
      <c r="A29" t="inlineStr">
        <is>
          <t>705</t>
        </is>
      </c>
      <c r="B29" t="inlineStr">
        <is>
          <t>Prestaciones de servicios</t>
        </is>
      </c>
      <c r="C29" t="n">
        <v>1617.13</v>
      </c>
      <c r="D29" t="n">
        <v>19243.15</v>
      </c>
      <c r="E29" t="n">
        <v>46914.97</v>
      </c>
      <c r="F29" t="n">
        <v>-26054.69</v>
      </c>
    </row>
    <row r="30">
      <c r="A30" t="inlineStr">
        <is>
          <t>4300000001</t>
        </is>
      </c>
      <c r="B30" t="inlineStr">
        <is>
          <t>BANCO SABADELL, S.A.</t>
        </is>
      </c>
      <c r="C30" t="n">
        <v>557.61</v>
      </c>
      <c r="D30" t="n">
        <v>25140.75</v>
      </c>
      <c r="E30" t="n">
        <v>7864.42</v>
      </c>
      <c r="F30" t="n">
        <v>17833.94</v>
      </c>
    </row>
    <row r="31">
      <c r="A31" t="inlineStr">
        <is>
          <t>4300000002</t>
        </is>
      </c>
      <c r="B31" t="inlineStr">
        <is>
          <t>CAIXABANK, SA</t>
        </is>
      </c>
      <c r="C31" t="n">
        <v>13245.33</v>
      </c>
      <c r="D31" t="n">
        <v>21227.04</v>
      </c>
      <c r="E31" t="n">
        <v>27489.66</v>
      </c>
      <c r="F31" t="n">
        <v>6982.71</v>
      </c>
    </row>
    <row r="32">
      <c r="A32" t="inlineStr">
        <is>
          <t>4300000003</t>
        </is>
      </c>
      <c r="B32" t="inlineStr">
        <is>
          <t>PREVENPYME, SL</t>
        </is>
      </c>
      <c r="C32" t="n">
        <v>6875.3</v>
      </c>
      <c r="D32" t="n">
        <v>54257.81</v>
      </c>
      <c r="E32" t="n">
        <v>25237.7</v>
      </c>
      <c r="F32" t="n">
        <v>35895.41</v>
      </c>
    </row>
    <row r="33">
      <c r="A33" t="inlineStr">
        <is>
          <t>4300000004</t>
        </is>
      </c>
      <c r="B33" t="inlineStr">
        <is>
          <t>EVENTOS MEDITERRÁNEOS, SL</t>
        </is>
      </c>
      <c r="C33" t="n">
        <v>13395.56</v>
      </c>
      <c r="D33" t="n">
        <v>30098.94</v>
      </c>
      <c r="E33" t="n">
        <v>31909.5</v>
      </c>
      <c r="F33" t="n">
        <v>11585</v>
      </c>
    </row>
    <row r="34">
      <c r="A34" t="inlineStr">
        <is>
          <t>4300000005</t>
        </is>
      </c>
      <c r="B34" t="inlineStr">
        <is>
          <t>DISTRIBUCIONES BADIA</t>
        </is>
      </c>
      <c r="C34" t="n">
        <v>5708.38</v>
      </c>
      <c r="D34" t="n">
        <v>1122.29</v>
      </c>
      <c r="E34" t="n">
        <v>26407.49</v>
      </c>
      <c r="F34" t="n">
        <v>-19576.82</v>
      </c>
    </row>
    <row r="35">
      <c r="A35" t="inlineStr">
        <is>
          <t>4300000006</t>
        </is>
      </c>
      <c r="B35" t="inlineStr">
        <is>
          <t>INMOBILIARIA TUSET SLU</t>
        </is>
      </c>
      <c r="C35" t="n">
        <v>-929.4</v>
      </c>
      <c r="D35" t="n">
        <v>235.95</v>
      </c>
      <c r="E35" t="n">
        <v>47950.23</v>
      </c>
      <c r="F35" t="n">
        <v>-48643.68</v>
      </c>
    </row>
    <row r="36">
      <c r="A36" t="inlineStr">
        <is>
          <t>4300000007</t>
        </is>
      </c>
      <c r="B36" t="inlineStr">
        <is>
          <t>ASESORÍA MIRALLES</t>
        </is>
      </c>
      <c r="C36" t="n">
        <v>-1139.24</v>
      </c>
      <c r="D36" t="n">
        <v>28409.58</v>
      </c>
      <c r="E36" t="n">
        <v>43511.6</v>
      </c>
      <c r="F36" t="n">
        <v>-16241.26</v>
      </c>
    </row>
    <row r="37">
      <c r="A37" t="inlineStr">
        <is>
          <t>4300000008</t>
        </is>
      </c>
      <c r="B37" t="inlineStr">
        <is>
          <t>FRUTAS CARIÑENA S.L.</t>
        </is>
      </c>
      <c r="C37" t="n">
        <v>6351.27</v>
      </c>
      <c r="D37" t="n">
        <v>19558.93</v>
      </c>
      <c r="E37" t="n">
        <v>31100.92</v>
      </c>
      <c r="F37" t="n">
        <v>-5190.72</v>
      </c>
    </row>
    <row r="38">
      <c r="A38" t="inlineStr">
        <is>
          <t>4300000009</t>
        </is>
      </c>
      <c r="B38" t="inlineStr">
        <is>
          <t>ARNAU TORRES DKAIDEK</t>
        </is>
      </c>
      <c r="C38" t="n">
        <v>6331.12</v>
      </c>
      <c r="D38" t="n">
        <v>47056.35</v>
      </c>
      <c r="E38" t="n">
        <v>6366.57</v>
      </c>
      <c r="F38" t="n">
        <v>47020.9</v>
      </c>
    </row>
    <row r="39">
      <c r="A39" t="inlineStr">
        <is>
          <t>4300000010</t>
        </is>
      </c>
      <c r="B39" t="inlineStr">
        <is>
          <t>NATALIA POLO CHOCANO</t>
        </is>
      </c>
      <c r="C39" t="n">
        <v>6425.77</v>
      </c>
      <c r="D39" t="n">
        <v>14909.66</v>
      </c>
      <c r="E39" t="n">
        <v>16615.02</v>
      </c>
      <c r="F39" t="n">
        <v>4720.41</v>
      </c>
    </row>
    <row r="40">
      <c r="A40" t="inlineStr">
        <is>
          <t>4300000011</t>
        </is>
      </c>
      <c r="B40" t="inlineStr">
        <is>
          <t>ADRIANA HUERTAS</t>
        </is>
      </c>
      <c r="C40" t="n">
        <v>10559.09</v>
      </c>
      <c r="D40" t="n">
        <v>30462.84</v>
      </c>
      <c r="E40" t="n">
        <v>33703.76</v>
      </c>
      <c r="F40" t="n">
        <v>7318.17</v>
      </c>
    </row>
    <row r="41">
      <c r="A41" t="inlineStr">
        <is>
          <t>4300000012</t>
        </is>
      </c>
      <c r="B41" t="inlineStr">
        <is>
          <t>HORTENSIA HERRERO</t>
        </is>
      </c>
      <c r="C41" t="n">
        <v>10319.87</v>
      </c>
      <c r="D41" t="n">
        <v>54749.28</v>
      </c>
      <c r="E41" t="n">
        <v>26594.9</v>
      </c>
      <c r="F41" t="n">
        <v>38474.25</v>
      </c>
    </row>
    <row r="42">
      <c r="A42" t="inlineStr">
        <is>
          <t>4300000013</t>
        </is>
      </c>
      <c r="B42" t="inlineStr">
        <is>
          <t>FUNDACIÓN ARTE HORTENSIA HERRERO</t>
        </is>
      </c>
      <c r="C42" t="n">
        <v>7444.29</v>
      </c>
      <c r="D42" t="n">
        <v>30333.19</v>
      </c>
      <c r="E42" t="n">
        <v>30729.69</v>
      </c>
      <c r="F42" t="n">
        <v>7047.79</v>
      </c>
    </row>
    <row r="43">
      <c r="A43" t="inlineStr">
        <is>
          <t>4300000014</t>
        </is>
      </c>
      <c r="B43" t="inlineStr">
        <is>
          <t>TALLERES MONTANER</t>
        </is>
      </c>
      <c r="C43" t="n">
        <v>9008.25</v>
      </c>
      <c r="D43" t="n">
        <v>27140.75</v>
      </c>
      <c r="E43" t="n">
        <v>31997.13</v>
      </c>
      <c r="F43" t="n">
        <v>4151.87</v>
      </c>
    </row>
    <row r="44">
      <c r="A44" t="inlineStr">
        <is>
          <t>4300000015</t>
        </is>
      </c>
      <c r="B44" t="inlineStr">
        <is>
          <t>BENLLOCH Y ASOCIADOS</t>
        </is>
      </c>
      <c r="C44" t="n">
        <v>4821.71</v>
      </c>
      <c r="D44" t="n">
        <v>56490.07</v>
      </c>
      <c r="E44" t="n">
        <v>41953.07</v>
      </c>
      <c r="F44" t="n">
        <v>19358.71</v>
      </c>
    </row>
    <row r="45">
      <c r="A45" t="inlineStr">
        <is>
          <t>4300000016</t>
        </is>
      </c>
      <c r="B45" t="inlineStr">
        <is>
          <t>MODICA E HIJOS S.L.</t>
        </is>
      </c>
      <c r="C45" t="n">
        <v>12592.44</v>
      </c>
      <c r="D45" t="n">
        <v>56530.84</v>
      </c>
      <c r="E45" t="n">
        <v>15575.54</v>
      </c>
      <c r="F45" t="n">
        <v>53547.74</v>
      </c>
    </row>
    <row r="46">
      <c r="A46" t="inlineStr">
        <is>
          <t>4300000017</t>
        </is>
      </c>
      <c r="B46" t="inlineStr">
        <is>
          <t>ASENSI CONSULTORES</t>
        </is>
      </c>
      <c r="C46" t="n">
        <v>6410.52</v>
      </c>
      <c r="D46" t="n">
        <v>56596.02</v>
      </c>
      <c r="E46" t="n">
        <v>50399.99</v>
      </c>
      <c r="F46" t="n">
        <v>12606.55</v>
      </c>
    </row>
    <row r="47">
      <c r="A47" t="inlineStr">
        <is>
          <t>4300000018</t>
        </is>
      </c>
      <c r="B47" t="inlineStr">
        <is>
          <t>RIERA INVERSIONES SL</t>
        </is>
      </c>
      <c r="C47" t="n">
        <v>-1825.88</v>
      </c>
      <c r="D47" t="n">
        <v>7297.32</v>
      </c>
      <c r="E47" t="n">
        <v>26527.09</v>
      </c>
      <c r="F47" t="n">
        <v>-21055.65</v>
      </c>
    </row>
    <row r="48">
      <c r="A48" t="inlineStr">
        <is>
          <t>4300000019</t>
        </is>
      </c>
      <c r="B48" t="inlineStr">
        <is>
          <t>BELLO LOGÍSTICA</t>
        </is>
      </c>
      <c r="C48" t="n">
        <v>-3085.35</v>
      </c>
      <c r="D48" t="n">
        <v>14438.33</v>
      </c>
      <c r="E48" t="n">
        <v>4387.25</v>
      </c>
      <c r="F48" t="n">
        <v>6965.73</v>
      </c>
    </row>
    <row r="49">
      <c r="A49" t="inlineStr">
        <is>
          <t>4300000020</t>
        </is>
      </c>
      <c r="B49" t="inlineStr">
        <is>
          <t>VALCARCEL HERMANOS</t>
        </is>
      </c>
      <c r="C49" t="n">
        <v>8554.709999999999</v>
      </c>
      <c r="D49" t="n">
        <v>47036.16</v>
      </c>
      <c r="E49" t="n">
        <v>53821.59</v>
      </c>
      <c r="F49" t="n">
        <v>1769.28</v>
      </c>
    </row>
    <row r="50">
      <c r="A50" t="inlineStr">
        <is>
          <t>4400000001</t>
        </is>
      </c>
      <c r="B50" t="inlineStr">
        <is>
          <t>PRÉSTAMOS A C/P JUAN PEDRO</t>
        </is>
      </c>
      <c r="C50" t="n">
        <v>-1488.29</v>
      </c>
      <c r="D50" t="n">
        <v>42967.19</v>
      </c>
      <c r="E50" t="n">
        <v>39615.39</v>
      </c>
      <c r="F50" t="n">
        <v>1863.51</v>
      </c>
    </row>
    <row r="51">
      <c r="A51" t="inlineStr">
        <is>
          <t>4400000002</t>
        </is>
      </c>
      <c r="B51" t="inlineStr">
        <is>
          <t>CRÉDITOS A C/P MIGUEL CAMACHO</t>
        </is>
      </c>
      <c r="C51" t="n">
        <v>-1711.91</v>
      </c>
      <c r="D51" t="n">
        <v>52969.97</v>
      </c>
      <c r="E51" t="n">
        <v>58052.69</v>
      </c>
      <c r="F51" t="n">
        <v>-6794.63</v>
      </c>
    </row>
    <row r="52">
      <c r="A52" t="inlineStr">
        <is>
          <t>4400000003</t>
        </is>
      </c>
      <c r="B52" t="inlineStr">
        <is>
          <t>ANTICIPO LAURA GURREA</t>
        </is>
      </c>
      <c r="C52" t="n">
        <v>-218.04</v>
      </c>
      <c r="D52" t="n">
        <v>57150.25</v>
      </c>
      <c r="E52" t="n">
        <v>23895.41</v>
      </c>
      <c r="F52" t="n">
        <v>33036.8</v>
      </c>
    </row>
    <row r="53">
      <c r="A53" t="inlineStr">
        <is>
          <t>4400000004</t>
        </is>
      </c>
      <c r="B53" t="inlineStr">
        <is>
          <t>ANTICIPO BEATRIZ HERGUETA</t>
        </is>
      </c>
      <c r="C53" t="n">
        <v>5001.59</v>
      </c>
      <c r="D53" t="n">
        <v>59392.29</v>
      </c>
      <c r="E53" t="n">
        <v>49946.68</v>
      </c>
      <c r="F53" t="n">
        <v>14447.2</v>
      </c>
    </row>
    <row r="54">
      <c r="A54" t="inlineStr">
        <is>
          <t>4400000005</t>
        </is>
      </c>
      <c r="B54" t="inlineStr">
        <is>
          <t>ANTICIPO CAROLINA LLARIO</t>
        </is>
      </c>
      <c r="C54" t="n">
        <v>-1351.41</v>
      </c>
      <c r="D54" t="n">
        <v>25891.31</v>
      </c>
      <c r="E54" t="n">
        <v>30936.3</v>
      </c>
      <c r="F54" t="n">
        <v>-6396.4</v>
      </c>
    </row>
    <row r="55">
      <c r="A55" t="inlineStr">
        <is>
          <t>4400000006</t>
        </is>
      </c>
      <c r="B55" t="inlineStr">
        <is>
          <t>ANTICIPO CLARA SANTAMARIA</t>
        </is>
      </c>
      <c r="C55" t="n">
        <v>2112.76</v>
      </c>
      <c r="D55" t="n">
        <v>11744.68</v>
      </c>
      <c r="E55" t="n">
        <v>19111.53</v>
      </c>
      <c r="F55" t="n">
        <v>-5254.09</v>
      </c>
    </row>
    <row r="56">
      <c r="A56" t="inlineStr">
        <is>
          <t>4100000001</t>
        </is>
      </c>
      <c r="B56" t="inlineStr">
        <is>
          <t>DISTRIBUCIONES CHUST S.L.</t>
        </is>
      </c>
      <c r="C56" t="n">
        <v>9581.940000000001</v>
      </c>
      <c r="D56" t="n">
        <v>1168.98</v>
      </c>
      <c r="E56" t="n">
        <v>33243.01</v>
      </c>
      <c r="F56" t="n">
        <v>-22492.09</v>
      </c>
    </row>
    <row r="57">
      <c r="A57" t="inlineStr">
        <is>
          <t>4100000002</t>
        </is>
      </c>
      <c r="B57" t="inlineStr">
        <is>
          <t>MAYORISTAS LAMATA</t>
        </is>
      </c>
      <c r="C57" t="n">
        <v>4088.93</v>
      </c>
      <c r="D57" t="n">
        <v>1084.92</v>
      </c>
      <c r="E57" t="n">
        <v>19889.87</v>
      </c>
      <c r="F57" t="n">
        <v>-14716.02</v>
      </c>
    </row>
    <row r="58">
      <c r="A58" t="inlineStr">
        <is>
          <t>4100000003</t>
        </is>
      </c>
      <c r="B58" t="inlineStr">
        <is>
          <t>TR LOGÍSTICA Y TRANSPORTES JUAN LARA SL</t>
        </is>
      </c>
      <c r="C58" t="n">
        <v>7666.58</v>
      </c>
      <c r="D58" t="n">
        <v>30735.74</v>
      </c>
      <c r="E58" t="n">
        <v>3857.45</v>
      </c>
      <c r="F58" t="n">
        <v>34544.87</v>
      </c>
    </row>
    <row r="59">
      <c r="A59" t="inlineStr">
        <is>
          <t>4100000004</t>
        </is>
      </c>
      <c r="B59" t="inlineStr">
        <is>
          <t>PUBLICIDAD ALBA EVENTOS</t>
        </is>
      </c>
      <c r="C59" t="n">
        <v>14709.12</v>
      </c>
      <c r="D59" t="n">
        <v>47301.78</v>
      </c>
      <c r="E59" t="n">
        <v>58301.76</v>
      </c>
      <c r="F59" t="n">
        <v>3709.14</v>
      </c>
    </row>
    <row r="60">
      <c r="A60" t="inlineStr">
        <is>
          <t>99000</t>
        </is>
      </c>
      <c r="B60" t="inlineStr">
        <is>
          <t>FÓRMULA EXTERNA 0</t>
        </is>
      </c>
      <c r="C60">
        <f>SUMIFS('Mayo 25'!$E:$E,'Mayo 25'!$A:$A,A10)</f>
        <v/>
      </c>
      <c r="D60">
        <f>+AB10+BK10</f>
        <v/>
      </c>
      <c r="E60">
        <f>SUMIFS('Septiembre 25'!$F:$F,'Septiembre 25'!$A:$A,A20)</f>
        <v/>
      </c>
      <c r="F60">
        <f>H10+AQ10-SUMIFS('Octubre 25'!$F:$F,'Octubre 25'!$A:$A,A10)</f>
        <v/>
      </c>
    </row>
    <row r="61">
      <c r="A61" t="inlineStr">
        <is>
          <t>99001</t>
        </is>
      </c>
      <c r="B61" t="inlineStr">
        <is>
          <t>FÓRMULA EXTERNA 1</t>
        </is>
      </c>
      <c r="C61">
        <f>SUMIFS('Mayo 25'!$E:$E,'Mayo 25'!$A:$A,A11)</f>
        <v/>
      </c>
      <c r="D61">
        <f>+AB11+BK11</f>
        <v/>
      </c>
      <c r="E61">
        <f>SUMIFS('Septiembre 25'!$F:$F,'Septiembre 25'!$A:$A,A21)</f>
        <v/>
      </c>
      <c r="F61">
        <f>H11+AQ11-SUMIFS('Octubre 25'!$F:$F,'Octubre 25'!$A:$A,A11)</f>
        <v/>
      </c>
    </row>
    <row r="62">
      <c r="A62" t="inlineStr">
        <is>
          <t>99002</t>
        </is>
      </c>
      <c r="B62" t="inlineStr">
        <is>
          <t>FÓRMULA EXTERNA 2</t>
        </is>
      </c>
      <c r="C62">
        <f>SUMIFS('Mayo 25'!$E:$E,'Mayo 25'!$A:$A,A12)</f>
        <v/>
      </c>
      <c r="D62">
        <f>+AB12+BK12</f>
        <v/>
      </c>
      <c r="E62">
        <f>SUMIFS('Septiembre 25'!$F:$F,'Septiembre 25'!$A:$A,A22)</f>
        <v/>
      </c>
      <c r="F62">
        <f>H12+AQ12-SUMIFS('Octubre 25'!$F:$F,'Octubre 25'!$A:$A,A12)</f>
        <v/>
      </c>
    </row>
    <row r="63">
      <c r="A63" t="inlineStr">
        <is>
          <t>99003</t>
        </is>
      </c>
      <c r="B63" t="inlineStr">
        <is>
          <t>FÓRMULA EXTERNA 3</t>
        </is>
      </c>
      <c r="C63">
        <f>SUMIFS('Mayo 25'!$E:$E,'Mayo 25'!$A:$A,A13)</f>
        <v/>
      </c>
      <c r="D63">
        <f>+AB13+BK13</f>
        <v/>
      </c>
      <c r="E63">
        <f>SUMIFS('Septiembre 25'!$F:$F,'Septiembre 25'!$A:$A,A23)</f>
        <v/>
      </c>
      <c r="F63">
        <f>H13+AQ13-SUMIFS('Octubre 25'!$F:$F,'Octubre 25'!$A:$A,A13)</f>
        <v/>
      </c>
    </row>
    <row r="64">
      <c r="A64" t="inlineStr">
        <is>
          <t>99004</t>
        </is>
      </c>
      <c r="B64" t="inlineStr">
        <is>
          <t>FÓRMULA EXTERNA 4</t>
        </is>
      </c>
      <c r="C64">
        <f>SUMIFS('Mayo 25'!$E:$E,'Mayo 25'!$A:$A,A14)</f>
        <v/>
      </c>
      <c r="D64">
        <f>+AB14+BK14</f>
        <v/>
      </c>
      <c r="E64">
        <f>SUMIFS('Septiembre 25'!$F:$F,'Septiembre 25'!$A:$A,A24)</f>
        <v/>
      </c>
      <c r="F64">
        <f>H14+AQ14-SUMIFS('Octubre 25'!$F:$F,'Octubre 25'!$A:$A,A14)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Aromas y Sabores del Mediterráneo S.L.</t>
        </is>
      </c>
    </row>
    <row r="2">
      <c r="A2" t="inlineStr">
        <is>
          <t>Sumas y Saldos Septiembre 24</t>
        </is>
      </c>
    </row>
    <row r="4">
      <c r="A4" s="1" t="inlineStr">
        <is>
          <t>Subcuenta</t>
        </is>
      </c>
      <c r="B4" s="1" t="inlineStr">
        <is>
          <t>Concepto</t>
        </is>
      </c>
      <c r="C4" s="1" t="inlineStr">
        <is>
          <t>Saldo Anterior</t>
        </is>
      </c>
      <c r="D4" s="1" t="inlineStr">
        <is>
          <t>Mvto. Debe</t>
        </is>
      </c>
      <c r="E4" s="1" t="inlineStr">
        <is>
          <t>Mvto. Haber</t>
        </is>
      </c>
      <c r="F4" s="1" t="inlineStr">
        <is>
          <t>Saldo Actual</t>
        </is>
      </c>
    </row>
    <row r="5">
      <c r="A5" t="inlineStr">
        <is>
          <t>100</t>
        </is>
      </c>
      <c r="B5" t="inlineStr">
        <is>
          <t>Capital social</t>
        </is>
      </c>
      <c r="C5" t="n">
        <v>-3275.73</v>
      </c>
      <c r="D5" t="n">
        <v>21245.14</v>
      </c>
      <c r="E5" t="n">
        <v>3167.06</v>
      </c>
      <c r="F5" t="n">
        <v>14802.35</v>
      </c>
    </row>
    <row r="6">
      <c r="A6" t="inlineStr">
        <is>
          <t>129</t>
        </is>
      </c>
      <c r="B6" t="inlineStr">
        <is>
          <t>Resultado del ejercicio</t>
        </is>
      </c>
      <c r="C6" t="n">
        <v>14253.93</v>
      </c>
      <c r="D6" t="n">
        <v>21635.69</v>
      </c>
      <c r="E6" t="n">
        <v>10364.44</v>
      </c>
      <c r="F6" t="n">
        <v>25525.18</v>
      </c>
    </row>
    <row r="7">
      <c r="A7" t="inlineStr">
        <is>
          <t>281</t>
        </is>
      </c>
      <c r="B7" t="inlineStr">
        <is>
          <t>Amortización acumulada del inmovilizado material</t>
        </is>
      </c>
      <c r="C7" t="n">
        <v>4978.61</v>
      </c>
      <c r="D7" t="n">
        <v>72913.11</v>
      </c>
      <c r="E7" t="n">
        <v>65518.32</v>
      </c>
      <c r="F7" t="n">
        <v>12373.4</v>
      </c>
    </row>
    <row r="8">
      <c r="A8" t="inlineStr">
        <is>
          <t>4720</t>
        </is>
      </c>
      <c r="B8" t="inlineStr">
        <is>
          <t>H.P. IVA SOPORTADO</t>
        </is>
      </c>
      <c r="C8" t="n">
        <v>723.83</v>
      </c>
      <c r="D8" t="n">
        <v>11949.44</v>
      </c>
      <c r="E8" t="n">
        <v>73533.72</v>
      </c>
      <c r="F8" t="n">
        <v>-60860.45</v>
      </c>
    </row>
    <row r="9">
      <c r="A9" t="inlineStr">
        <is>
          <t>4770</t>
        </is>
      </c>
      <c r="B9" t="inlineStr">
        <is>
          <t>H.P. IVA REPERCUTIDO</t>
        </is>
      </c>
      <c r="C9" t="n">
        <v>8835.469999999999</v>
      </c>
      <c r="D9" t="n">
        <v>56033.4</v>
      </c>
      <c r="E9" t="n">
        <v>7156.98</v>
      </c>
      <c r="F9" t="n">
        <v>57711.89</v>
      </c>
    </row>
    <row r="10">
      <c r="A10" t="inlineStr">
        <is>
          <t>4751</t>
        </is>
      </c>
      <c r="B10" t="inlineStr">
        <is>
          <t>H.P. Acreedora por IS</t>
        </is>
      </c>
      <c r="C10" t="n">
        <v>-4504.31</v>
      </c>
      <c r="D10" t="n">
        <v>55056.45</v>
      </c>
      <c r="E10" t="n">
        <v>34025.36</v>
      </c>
      <c r="F10" t="n">
        <v>16526.78</v>
      </c>
    </row>
    <row r="11">
      <c r="A11" t="inlineStr">
        <is>
          <t>4752</t>
        </is>
      </c>
      <c r="B11" t="inlineStr">
        <is>
          <t>H.P. Acreedora por IRPF</t>
        </is>
      </c>
      <c r="C11" t="n">
        <v>-4117.23</v>
      </c>
      <c r="D11" t="n">
        <v>75067.98</v>
      </c>
      <c r="E11" t="n">
        <v>50755.16</v>
      </c>
      <c r="F11" t="n">
        <v>20195.59</v>
      </c>
    </row>
    <row r="12">
      <c r="A12" t="inlineStr">
        <is>
          <t>4760</t>
        </is>
      </c>
      <c r="B12" t="inlineStr">
        <is>
          <t>Organismos de la Seguridad Social acreedores</t>
        </is>
      </c>
      <c r="C12" t="n">
        <v>14842.34</v>
      </c>
      <c r="D12" t="n">
        <v>6699.4</v>
      </c>
      <c r="E12" t="n">
        <v>68498.28999999999</v>
      </c>
      <c r="F12" t="n">
        <v>-46956.55</v>
      </c>
    </row>
    <row r="13">
      <c r="A13" t="inlineStr">
        <is>
          <t>570</t>
        </is>
      </c>
      <c r="B13" t="inlineStr">
        <is>
          <t>Caja, euros</t>
        </is>
      </c>
      <c r="C13" t="n">
        <v>-4267.81</v>
      </c>
      <c r="D13" t="n">
        <v>69022</v>
      </c>
      <c r="E13" t="n">
        <v>36301.88</v>
      </c>
      <c r="F13" t="n">
        <v>28452.31</v>
      </c>
    </row>
    <row r="14">
      <c r="A14" t="inlineStr">
        <is>
          <t>572</t>
        </is>
      </c>
      <c r="B14" t="inlineStr">
        <is>
          <t>Bancos e instituciones de crédito c/c vista, euros</t>
        </is>
      </c>
      <c r="C14" t="n">
        <v>2817.95</v>
      </c>
      <c r="D14" t="n">
        <v>44245.13</v>
      </c>
      <c r="E14" t="n">
        <v>74133.53999999999</v>
      </c>
      <c r="F14" t="n">
        <v>-27070.46</v>
      </c>
    </row>
    <row r="15">
      <c r="A15" t="inlineStr">
        <is>
          <t>600</t>
        </is>
      </c>
      <c r="B15" t="inlineStr">
        <is>
          <t>Compras de mercaderías</t>
        </is>
      </c>
      <c r="C15" t="n">
        <v>964.35</v>
      </c>
      <c r="D15" t="n">
        <v>10337.98</v>
      </c>
      <c r="E15" t="n">
        <v>42153.2</v>
      </c>
      <c r="F15" t="n">
        <v>-30850.87</v>
      </c>
    </row>
    <row r="16">
      <c r="A16" t="inlineStr">
        <is>
          <t>621</t>
        </is>
      </c>
      <c r="B16" t="inlineStr">
        <is>
          <t>Arrendamientos y cánones</t>
        </is>
      </c>
      <c r="C16" t="n">
        <v>199.34</v>
      </c>
      <c r="D16" t="n">
        <v>8756.120000000001</v>
      </c>
      <c r="E16" t="n">
        <v>12915.93</v>
      </c>
      <c r="F16" t="n">
        <v>-3960.47</v>
      </c>
    </row>
    <row r="17">
      <c r="A17" t="inlineStr">
        <is>
          <t>622</t>
        </is>
      </c>
      <c r="B17" t="inlineStr">
        <is>
          <t>Reparaciones y conservación</t>
        </is>
      </c>
      <c r="C17" t="n">
        <v>-4690.13</v>
      </c>
      <c r="D17" t="n">
        <v>16141.46</v>
      </c>
      <c r="E17" t="n">
        <v>24959.39</v>
      </c>
      <c r="F17" t="n">
        <v>-13508.06</v>
      </c>
    </row>
    <row r="18">
      <c r="A18" t="inlineStr">
        <is>
          <t>623</t>
        </is>
      </c>
      <c r="B18" t="inlineStr">
        <is>
          <t>Servicios de profesionales independientes</t>
        </is>
      </c>
      <c r="C18" t="n">
        <v>1930.14</v>
      </c>
      <c r="D18" t="n">
        <v>60759.86</v>
      </c>
      <c r="E18" t="n">
        <v>23196.87</v>
      </c>
      <c r="F18" t="n">
        <v>39493.13</v>
      </c>
    </row>
    <row r="19">
      <c r="A19" t="inlineStr">
        <is>
          <t>624</t>
        </is>
      </c>
      <c r="B19" t="inlineStr">
        <is>
          <t>Transportes</t>
        </is>
      </c>
      <c r="C19" t="n">
        <v>7002.3</v>
      </c>
      <c r="D19" t="n">
        <v>14231.99</v>
      </c>
      <c r="E19" t="n">
        <v>27760.08</v>
      </c>
      <c r="F19" t="n">
        <v>-6525.79</v>
      </c>
    </row>
    <row r="20">
      <c r="A20" t="inlineStr">
        <is>
          <t>625</t>
        </is>
      </c>
      <c r="B20" t="inlineStr">
        <is>
          <t>Primas de seguros</t>
        </is>
      </c>
      <c r="C20" t="n">
        <v>-5527.76</v>
      </c>
      <c r="D20" t="n">
        <v>20035.9</v>
      </c>
      <c r="E20" t="n">
        <v>1227.69</v>
      </c>
      <c r="F20" t="n">
        <v>13280.45</v>
      </c>
    </row>
    <row r="21">
      <c r="A21" t="inlineStr">
        <is>
          <t>627</t>
        </is>
      </c>
      <c r="B21" t="inlineStr">
        <is>
          <t>Publicidad, propaganda y RRPP</t>
        </is>
      </c>
      <c r="C21" t="n">
        <v>13060.09</v>
      </c>
      <c r="D21" t="n">
        <v>44083.93</v>
      </c>
      <c r="E21" t="n">
        <v>15156.52</v>
      </c>
      <c r="F21" t="n">
        <v>41987.5</v>
      </c>
    </row>
    <row r="22">
      <c r="A22" t="inlineStr">
        <is>
          <t>628</t>
        </is>
      </c>
      <c r="B22" t="inlineStr">
        <is>
          <t>Suministros</t>
        </is>
      </c>
      <c r="C22" t="n">
        <v>6343.78</v>
      </c>
      <c r="D22" t="n">
        <v>74771.42999999999</v>
      </c>
      <c r="E22" t="n">
        <v>8502.51</v>
      </c>
      <c r="F22" t="n">
        <v>72612.7</v>
      </c>
    </row>
    <row r="23">
      <c r="A23" t="inlineStr">
        <is>
          <t>629</t>
        </is>
      </c>
      <c r="B23" t="inlineStr">
        <is>
          <t>Otros servicios</t>
        </is>
      </c>
      <c r="C23" t="n">
        <v>15291.92</v>
      </c>
      <c r="D23" t="n">
        <v>34574.21</v>
      </c>
      <c r="E23" t="n">
        <v>39600.13</v>
      </c>
      <c r="F23" t="n">
        <v>10266</v>
      </c>
    </row>
    <row r="24">
      <c r="A24" t="inlineStr">
        <is>
          <t>630</t>
        </is>
      </c>
      <c r="B24" t="inlineStr">
        <is>
          <t>Impuesto sobre beneficios</t>
        </is>
      </c>
      <c r="C24" t="n">
        <v>15699.96</v>
      </c>
      <c r="D24" t="n">
        <v>31446.89</v>
      </c>
      <c r="E24" t="n">
        <v>40534.88</v>
      </c>
      <c r="F24" t="n">
        <v>6611.97</v>
      </c>
    </row>
    <row r="25">
      <c r="A25" t="inlineStr">
        <is>
          <t>631</t>
        </is>
      </c>
      <c r="B25" t="inlineStr">
        <is>
          <t>Otros tributos</t>
        </is>
      </c>
      <c r="C25" t="n">
        <v>11881.29</v>
      </c>
      <c r="D25" t="n">
        <v>78595.24000000001</v>
      </c>
      <c r="E25" t="n">
        <v>27416.37</v>
      </c>
      <c r="F25" t="n">
        <v>63060.16</v>
      </c>
    </row>
    <row r="26">
      <c r="A26" t="inlineStr">
        <is>
          <t>640</t>
        </is>
      </c>
      <c r="B26" t="inlineStr">
        <is>
          <t>Sueldos y salarios</t>
        </is>
      </c>
      <c r="C26" t="n">
        <v>15639.45</v>
      </c>
      <c r="D26" t="n">
        <v>56538.03</v>
      </c>
      <c r="E26" t="n">
        <v>50878.16</v>
      </c>
      <c r="F26" t="n">
        <v>21299.32</v>
      </c>
    </row>
    <row r="27">
      <c r="A27" t="inlineStr">
        <is>
          <t>642</t>
        </is>
      </c>
      <c r="B27" t="inlineStr">
        <is>
          <t>Seguridad Social a cargo de la empresa</t>
        </is>
      </c>
      <c r="C27" t="n">
        <v>4522.14</v>
      </c>
      <c r="D27" t="n">
        <v>27804.17</v>
      </c>
      <c r="E27" t="n">
        <v>4351.08</v>
      </c>
      <c r="F27" t="n">
        <v>27975.23</v>
      </c>
    </row>
    <row r="28">
      <c r="A28" t="inlineStr">
        <is>
          <t>700</t>
        </is>
      </c>
      <c r="B28" t="inlineStr">
        <is>
          <t>Ventas de mercaderías</t>
        </is>
      </c>
      <c r="C28" t="n">
        <v>-2624.72</v>
      </c>
      <c r="D28" t="n">
        <v>5657.83</v>
      </c>
      <c r="E28" t="n">
        <v>59271.14</v>
      </c>
      <c r="F28" t="n">
        <v>-56238.03</v>
      </c>
    </row>
    <row r="29">
      <c r="A29" t="inlineStr">
        <is>
          <t>705</t>
        </is>
      </c>
      <c r="B29" t="inlineStr">
        <is>
          <t>Prestaciones de servicios</t>
        </is>
      </c>
      <c r="C29" t="n">
        <v>645.4400000000001</v>
      </c>
      <c r="D29" t="n">
        <v>13059.72</v>
      </c>
      <c r="E29" t="n">
        <v>6758.79</v>
      </c>
      <c r="F29" t="n">
        <v>6946.37</v>
      </c>
    </row>
    <row r="30">
      <c r="A30" t="inlineStr">
        <is>
          <t>4300000001</t>
        </is>
      </c>
      <c r="B30" t="inlineStr">
        <is>
          <t>BANCO SABADELL, S.A.</t>
        </is>
      </c>
      <c r="C30" t="n">
        <v>11904.75</v>
      </c>
      <c r="D30" t="n">
        <v>52232.27</v>
      </c>
      <c r="E30" t="n">
        <v>40232.6</v>
      </c>
      <c r="F30" t="n">
        <v>23904.42</v>
      </c>
    </row>
    <row r="31">
      <c r="A31" t="inlineStr">
        <is>
          <t>4300000002</t>
        </is>
      </c>
      <c r="B31" t="inlineStr">
        <is>
          <t>CAIXABANK, SA</t>
        </is>
      </c>
      <c r="C31" t="n">
        <v>997.7</v>
      </c>
      <c r="D31" t="n">
        <v>14532.78</v>
      </c>
      <c r="E31" t="n">
        <v>17583.51</v>
      </c>
      <c r="F31" t="n">
        <v>-2053.03</v>
      </c>
    </row>
    <row r="32">
      <c r="A32" t="inlineStr">
        <is>
          <t>4300000003</t>
        </is>
      </c>
      <c r="B32" t="inlineStr">
        <is>
          <t>PREVENPYME, SL</t>
        </is>
      </c>
      <c r="C32" t="n">
        <v>4459.33</v>
      </c>
      <c r="D32" t="n">
        <v>9451.98</v>
      </c>
      <c r="E32" t="n">
        <v>26749.48</v>
      </c>
      <c r="F32" t="n">
        <v>-12838.17</v>
      </c>
    </row>
    <row r="33">
      <c r="A33" t="inlineStr">
        <is>
          <t>4300000004</t>
        </is>
      </c>
      <c r="B33" t="inlineStr">
        <is>
          <t>EVENTOS MEDITERRÁNEOS, SL</t>
        </is>
      </c>
      <c r="C33" t="n">
        <v>633.24</v>
      </c>
      <c r="D33" t="n">
        <v>57707.19</v>
      </c>
      <c r="E33" t="n">
        <v>58357.38</v>
      </c>
      <c r="F33" t="n">
        <v>-16.95</v>
      </c>
    </row>
    <row r="34">
      <c r="A34" t="inlineStr">
        <is>
          <t>4300000005</t>
        </is>
      </c>
      <c r="B34" t="inlineStr">
        <is>
          <t>DISTRIBUCIONES BADIA</t>
        </is>
      </c>
      <c r="C34" t="n">
        <v>6167.93</v>
      </c>
      <c r="D34" t="n">
        <v>14666.79</v>
      </c>
      <c r="E34" t="n">
        <v>57940.01</v>
      </c>
      <c r="F34" t="n">
        <v>-37105.29</v>
      </c>
    </row>
    <row r="35">
      <c r="A35" t="inlineStr">
        <is>
          <t>4300000006</t>
        </is>
      </c>
      <c r="B35" t="inlineStr">
        <is>
          <t>INMOBILIARIA TUSET SLU</t>
        </is>
      </c>
      <c r="C35" t="n">
        <v>1536.18</v>
      </c>
      <c r="D35" t="n">
        <v>21395.04</v>
      </c>
      <c r="E35" t="n">
        <v>64.13</v>
      </c>
      <c r="F35" t="n">
        <v>22867.09</v>
      </c>
    </row>
    <row r="36">
      <c r="A36" t="inlineStr">
        <is>
          <t>4300000007</t>
        </is>
      </c>
      <c r="B36" t="inlineStr">
        <is>
          <t>ASESORÍA MIRALLES</t>
        </is>
      </c>
      <c r="C36" t="n">
        <v>2941.72</v>
      </c>
      <c r="D36" t="n">
        <v>28478.62</v>
      </c>
      <c r="E36" t="n">
        <v>30165.84</v>
      </c>
      <c r="F36" t="n">
        <v>1254.5</v>
      </c>
    </row>
    <row r="37">
      <c r="A37" t="inlineStr">
        <is>
          <t>4300000008</t>
        </is>
      </c>
      <c r="B37" t="inlineStr">
        <is>
          <t>FRUTAS CARIÑENA S.L.</t>
        </is>
      </c>
      <c r="C37" t="n">
        <v>-580.89</v>
      </c>
      <c r="D37" t="n">
        <v>30284.14</v>
      </c>
      <c r="E37" t="n">
        <v>297.03</v>
      </c>
      <c r="F37" t="n">
        <v>29406.22</v>
      </c>
    </row>
    <row r="38">
      <c r="A38" t="inlineStr">
        <is>
          <t>4300000009</t>
        </is>
      </c>
      <c r="B38" t="inlineStr">
        <is>
          <t>ARNAU TORRES DKAIDEK</t>
        </is>
      </c>
      <c r="C38" t="n">
        <v>651.29</v>
      </c>
      <c r="D38" t="n">
        <v>5385.2</v>
      </c>
      <c r="E38" t="n">
        <v>23970.67</v>
      </c>
      <c r="F38" t="n">
        <v>-17934.18</v>
      </c>
    </row>
    <row r="39">
      <c r="A39" t="inlineStr">
        <is>
          <t>4300000010</t>
        </is>
      </c>
      <c r="B39" t="inlineStr">
        <is>
          <t>NATALIA POLO CHOCANO</t>
        </is>
      </c>
      <c r="C39" t="n">
        <v>-3687.49</v>
      </c>
      <c r="D39" t="n">
        <v>1349.65</v>
      </c>
      <c r="E39" t="n">
        <v>18254.67</v>
      </c>
      <c r="F39" t="n">
        <v>-20592.51</v>
      </c>
    </row>
    <row r="40">
      <c r="A40" t="inlineStr">
        <is>
          <t>4300000011</t>
        </is>
      </c>
      <c r="B40" t="inlineStr">
        <is>
          <t>ADRIANA HUERTAS</t>
        </is>
      </c>
      <c r="C40" t="n">
        <v>39.79</v>
      </c>
      <c r="D40" t="n">
        <v>35135</v>
      </c>
      <c r="E40" t="n">
        <v>31751.37</v>
      </c>
      <c r="F40" t="n">
        <v>3423.42</v>
      </c>
    </row>
    <row r="41">
      <c r="A41" t="inlineStr">
        <is>
          <t>4300000012</t>
        </is>
      </c>
      <c r="B41" t="inlineStr">
        <is>
          <t>HORTENSIA HERRERO</t>
        </is>
      </c>
      <c r="C41" t="n">
        <v>10135.54</v>
      </c>
      <c r="D41" t="n">
        <v>39452.62</v>
      </c>
      <c r="E41" t="n">
        <v>42959.61</v>
      </c>
      <c r="F41" t="n">
        <v>6628.55</v>
      </c>
    </row>
    <row r="42">
      <c r="A42" t="inlineStr">
        <is>
          <t>4300000013</t>
        </is>
      </c>
      <c r="B42" t="inlineStr">
        <is>
          <t>FUNDACIÓN ARTE HORTENSIA HERRERO</t>
        </is>
      </c>
      <c r="C42" t="n">
        <v>12642.27</v>
      </c>
      <c r="D42" t="n">
        <v>23370.99</v>
      </c>
      <c r="E42" t="n">
        <v>19568.09</v>
      </c>
      <c r="F42" t="n">
        <v>16445.17</v>
      </c>
    </row>
    <row r="43">
      <c r="A43" t="inlineStr">
        <is>
          <t>4300000014</t>
        </is>
      </c>
      <c r="B43" t="inlineStr">
        <is>
          <t>TALLERES MONTANER</t>
        </is>
      </c>
      <c r="C43" t="n">
        <v>14702.22</v>
      </c>
      <c r="D43" t="n">
        <v>8967.790000000001</v>
      </c>
      <c r="E43" t="n">
        <v>43449.35</v>
      </c>
      <c r="F43" t="n">
        <v>-19779.34</v>
      </c>
    </row>
    <row r="44">
      <c r="A44" t="inlineStr">
        <is>
          <t>4300000015</t>
        </is>
      </c>
      <c r="B44" t="inlineStr">
        <is>
          <t>BENLLOCH Y ASOCIADOS</t>
        </is>
      </c>
      <c r="C44" t="n">
        <v>8042.78</v>
      </c>
      <c r="D44" t="n">
        <v>2627.28</v>
      </c>
      <c r="E44" t="n">
        <v>50117.37</v>
      </c>
      <c r="F44" t="n">
        <v>-39447.31</v>
      </c>
    </row>
    <row r="45">
      <c r="A45" t="inlineStr">
        <is>
          <t>4300000016</t>
        </is>
      </c>
      <c r="B45" t="inlineStr">
        <is>
          <t>MODICA E HIJOS S.L.</t>
        </is>
      </c>
      <c r="C45" t="n">
        <v>12892.88</v>
      </c>
      <c r="D45" t="n">
        <v>37639.93</v>
      </c>
      <c r="E45" t="n">
        <v>44031.13</v>
      </c>
      <c r="F45" t="n">
        <v>6501.68</v>
      </c>
    </row>
    <row r="46">
      <c r="A46" t="inlineStr">
        <is>
          <t>4300000017</t>
        </is>
      </c>
      <c r="B46" t="inlineStr">
        <is>
          <t>ASENSI CONSULTORES</t>
        </is>
      </c>
      <c r="C46" t="n">
        <v>11338.27</v>
      </c>
      <c r="D46" t="n">
        <v>8358.459999999999</v>
      </c>
      <c r="E46" t="n">
        <v>31425.44</v>
      </c>
      <c r="F46" t="n">
        <v>-11728.71</v>
      </c>
    </row>
    <row r="47">
      <c r="A47" t="inlineStr">
        <is>
          <t>4300000018</t>
        </is>
      </c>
      <c r="B47" t="inlineStr">
        <is>
          <t>RIERA INVERSIONES SL</t>
        </is>
      </c>
      <c r="C47" t="n">
        <v>5335.24</v>
      </c>
      <c r="D47" t="n">
        <v>50096.26</v>
      </c>
      <c r="E47" t="n">
        <v>48280.66</v>
      </c>
      <c r="F47" t="n">
        <v>7150.84</v>
      </c>
    </row>
    <row r="48">
      <c r="A48" t="inlineStr">
        <is>
          <t>4300000019</t>
        </is>
      </c>
      <c r="B48" t="inlineStr">
        <is>
          <t>BELLO LOGÍSTICA</t>
        </is>
      </c>
      <c r="C48" t="n">
        <v>11614.98</v>
      </c>
      <c r="D48" t="n">
        <v>35043.69</v>
      </c>
      <c r="E48" t="n">
        <v>53569.78</v>
      </c>
      <c r="F48" t="n">
        <v>-6911.11</v>
      </c>
    </row>
    <row r="49">
      <c r="A49" t="inlineStr">
        <is>
          <t>4300000020</t>
        </is>
      </c>
      <c r="B49" t="inlineStr">
        <is>
          <t>VALCARCEL HERMANOS</t>
        </is>
      </c>
      <c r="C49" t="n">
        <v>8816.459999999999</v>
      </c>
      <c r="D49" t="n">
        <v>41599.57</v>
      </c>
      <c r="E49" t="n">
        <v>13796.44</v>
      </c>
      <c r="F49" t="n">
        <v>36619.59</v>
      </c>
    </row>
    <row r="50">
      <c r="A50" t="inlineStr">
        <is>
          <t>4400000001</t>
        </is>
      </c>
      <c r="B50" t="inlineStr">
        <is>
          <t>PRÉSTAMOS A C/P JUAN PEDRO</t>
        </is>
      </c>
      <c r="C50" t="n">
        <v>-3892.37</v>
      </c>
      <c r="D50" t="n">
        <v>7985.59</v>
      </c>
      <c r="E50" t="n">
        <v>21642.45</v>
      </c>
      <c r="F50" t="n">
        <v>-17549.23</v>
      </c>
    </row>
    <row r="51">
      <c r="A51" t="inlineStr">
        <is>
          <t>4400000002</t>
        </is>
      </c>
      <c r="B51" t="inlineStr">
        <is>
          <t>CRÉDITOS A C/P MIGUEL CAMACHO</t>
        </is>
      </c>
      <c r="C51" t="n">
        <v>-2454.13</v>
      </c>
      <c r="D51" t="n">
        <v>50149.27</v>
      </c>
      <c r="E51" t="n">
        <v>33511.63</v>
      </c>
      <c r="F51" t="n">
        <v>14183.51</v>
      </c>
    </row>
    <row r="52">
      <c r="A52" t="inlineStr">
        <is>
          <t>4400000003</t>
        </is>
      </c>
      <c r="B52" t="inlineStr">
        <is>
          <t>ANTICIPO LAURA GURREA</t>
        </is>
      </c>
      <c r="C52" t="n">
        <v>7741.46</v>
      </c>
      <c r="D52" t="n">
        <v>37573.59</v>
      </c>
      <c r="E52" t="n">
        <v>40839.85</v>
      </c>
      <c r="F52" t="n">
        <v>4475.2</v>
      </c>
    </row>
    <row r="53">
      <c r="A53" t="inlineStr">
        <is>
          <t>4400000004</t>
        </is>
      </c>
      <c r="B53" t="inlineStr">
        <is>
          <t>ANTICIPO BEATRIZ HERGUETA</t>
        </is>
      </c>
      <c r="C53" t="n">
        <v>5041.24</v>
      </c>
      <c r="D53" t="n">
        <v>198.86</v>
      </c>
      <c r="E53" t="n">
        <v>47861.85</v>
      </c>
      <c r="F53" t="n">
        <v>-42621.75</v>
      </c>
    </row>
    <row r="54">
      <c r="A54" t="inlineStr">
        <is>
          <t>4400000005</t>
        </is>
      </c>
      <c r="B54" t="inlineStr">
        <is>
          <t>ANTICIPO CAROLINA LLARIO</t>
        </is>
      </c>
      <c r="C54" t="n">
        <v>10091.17</v>
      </c>
      <c r="D54" t="n">
        <v>30178.26</v>
      </c>
      <c r="E54" t="n">
        <v>32111.99</v>
      </c>
      <c r="F54" t="n">
        <v>8157.44</v>
      </c>
    </row>
    <row r="55">
      <c r="A55" t="inlineStr">
        <is>
          <t>4400000006</t>
        </is>
      </c>
      <c r="B55" t="inlineStr">
        <is>
          <t>ANTICIPO CLARA SANTAMARIA</t>
        </is>
      </c>
      <c r="C55" t="n">
        <v>8356.34</v>
      </c>
      <c r="D55" t="n">
        <v>3963.02</v>
      </c>
      <c r="E55" t="n">
        <v>44207.3</v>
      </c>
      <c r="F55" t="n">
        <v>-31887.94</v>
      </c>
    </row>
    <row r="56">
      <c r="A56" t="inlineStr">
        <is>
          <t>4100000001</t>
        </is>
      </c>
      <c r="B56" t="inlineStr">
        <is>
          <t>DISTRIBUCIONES CHUST S.L.</t>
        </is>
      </c>
      <c r="C56" t="n">
        <v>417.77</v>
      </c>
      <c r="D56" t="n">
        <v>4467</v>
      </c>
      <c r="E56" t="n">
        <v>15933.49</v>
      </c>
      <c r="F56" t="n">
        <v>-11048.72</v>
      </c>
    </row>
    <row r="57">
      <c r="A57" t="inlineStr">
        <is>
          <t>4100000002</t>
        </is>
      </c>
      <c r="B57" t="inlineStr">
        <is>
          <t>MAYORISTAS LAMATA</t>
        </is>
      </c>
      <c r="C57" t="n">
        <v>9722.030000000001</v>
      </c>
      <c r="D57" t="n">
        <v>12313.05</v>
      </c>
      <c r="E57" t="n">
        <v>44389.72</v>
      </c>
      <c r="F57" t="n">
        <v>-22354.64</v>
      </c>
    </row>
    <row r="58">
      <c r="A58" t="inlineStr">
        <is>
          <t>4100000003</t>
        </is>
      </c>
      <c r="B58" t="inlineStr">
        <is>
          <t>TR LOGÍSTICA Y TRANSPORTES JUAN LARA SL</t>
        </is>
      </c>
      <c r="C58" t="n">
        <v>14526.83</v>
      </c>
      <c r="D58" t="n">
        <v>29636.93</v>
      </c>
      <c r="E58" t="n">
        <v>22953.63</v>
      </c>
      <c r="F58" t="n">
        <v>21210.13</v>
      </c>
    </row>
    <row r="59">
      <c r="A59" t="inlineStr">
        <is>
          <t>4100000004</t>
        </is>
      </c>
      <c r="B59" t="inlineStr">
        <is>
          <t>PUBLICIDAD ALBA EVENTOS</t>
        </is>
      </c>
      <c r="C59" t="n">
        <v>4840.7</v>
      </c>
      <c r="D59" t="n">
        <v>41021.79</v>
      </c>
      <c r="E59" t="n">
        <v>46018.21</v>
      </c>
      <c r="F59" t="n">
        <v>-155.72</v>
      </c>
    </row>
    <row r="60">
      <c r="A60" t="inlineStr">
        <is>
          <t>99000</t>
        </is>
      </c>
      <c r="B60" t="inlineStr">
        <is>
          <t>FÓRMULA EXTERNA 0</t>
        </is>
      </c>
      <c r="C60">
        <f>SUMIFS('Mayo 25'!$E:$E,'Mayo 25'!$A:$A,A10)</f>
        <v/>
      </c>
      <c r="D60">
        <f>+AB10+BK10</f>
        <v/>
      </c>
      <c r="E60">
        <f>SUMIFS('Septiembre 25'!$F:$F,'Septiembre 25'!$A:$A,A20)</f>
        <v/>
      </c>
      <c r="F60">
        <f>H10+AQ10-SUMIFS('Octubre 25'!$F:$F,'Octubre 25'!$A:$A,A10)</f>
        <v/>
      </c>
    </row>
    <row r="61">
      <c r="A61" t="inlineStr">
        <is>
          <t>99001</t>
        </is>
      </c>
      <c r="B61" t="inlineStr">
        <is>
          <t>FÓRMULA EXTERNA 1</t>
        </is>
      </c>
      <c r="C61">
        <f>SUMIFS('Mayo 25'!$E:$E,'Mayo 25'!$A:$A,A11)</f>
        <v/>
      </c>
      <c r="D61">
        <f>+AB11+BK11</f>
        <v/>
      </c>
      <c r="E61">
        <f>SUMIFS('Septiembre 25'!$F:$F,'Septiembre 25'!$A:$A,A21)</f>
        <v/>
      </c>
      <c r="F61">
        <f>H11+AQ11-SUMIFS('Octubre 25'!$F:$F,'Octubre 25'!$A:$A,A11)</f>
        <v/>
      </c>
    </row>
    <row r="62">
      <c r="A62" t="inlineStr">
        <is>
          <t>99002</t>
        </is>
      </c>
      <c r="B62" t="inlineStr">
        <is>
          <t>FÓRMULA EXTERNA 2</t>
        </is>
      </c>
      <c r="C62">
        <f>SUMIFS('Mayo 25'!$E:$E,'Mayo 25'!$A:$A,A12)</f>
        <v/>
      </c>
      <c r="D62">
        <f>+AB12+BK12</f>
        <v/>
      </c>
      <c r="E62">
        <f>SUMIFS('Septiembre 25'!$F:$F,'Septiembre 25'!$A:$A,A22)</f>
        <v/>
      </c>
      <c r="F62">
        <f>H12+AQ12-SUMIFS('Octubre 25'!$F:$F,'Octubre 25'!$A:$A,A12)</f>
        <v/>
      </c>
    </row>
    <row r="63">
      <c r="A63" t="inlineStr">
        <is>
          <t>99003</t>
        </is>
      </c>
      <c r="B63" t="inlineStr">
        <is>
          <t>FÓRMULA EXTERNA 3</t>
        </is>
      </c>
      <c r="C63">
        <f>SUMIFS('Mayo 25'!$E:$E,'Mayo 25'!$A:$A,A13)</f>
        <v/>
      </c>
      <c r="D63">
        <f>+AB13+BK13</f>
        <v/>
      </c>
      <c r="E63">
        <f>SUMIFS('Septiembre 25'!$F:$F,'Septiembre 25'!$A:$A,A23)</f>
        <v/>
      </c>
      <c r="F63">
        <f>H13+AQ13-SUMIFS('Octubre 25'!$F:$F,'Octubre 25'!$A:$A,A13)</f>
        <v/>
      </c>
    </row>
    <row r="64">
      <c r="A64" t="inlineStr">
        <is>
          <t>99004</t>
        </is>
      </c>
      <c r="B64" t="inlineStr">
        <is>
          <t>FÓRMULA EXTERNA 4</t>
        </is>
      </c>
      <c r="C64">
        <f>SUMIFS('Mayo 25'!$E:$E,'Mayo 25'!$A:$A,A14)</f>
        <v/>
      </c>
      <c r="D64">
        <f>+AB14+BK14</f>
        <v/>
      </c>
      <c r="E64">
        <f>SUMIFS('Septiembre 25'!$F:$F,'Septiembre 25'!$A:$A,A24)</f>
        <v/>
      </c>
      <c r="F64">
        <f>H14+AQ14-SUMIFS('Octubre 25'!$F:$F,'Octubre 25'!$A:$A,A14)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Aromas y Sabores del Mediterráneo S.L.</t>
        </is>
      </c>
    </row>
    <row r="2">
      <c r="A2" t="inlineStr">
        <is>
          <t>Sumas y Saldos Octubre 24</t>
        </is>
      </c>
    </row>
    <row r="4">
      <c r="A4" s="1" t="inlineStr">
        <is>
          <t>Subcuenta</t>
        </is>
      </c>
      <c r="B4" s="1" t="inlineStr">
        <is>
          <t>Concepto</t>
        </is>
      </c>
      <c r="C4" s="1" t="inlineStr">
        <is>
          <t>Saldo Anterior</t>
        </is>
      </c>
      <c r="D4" s="1" t="inlineStr">
        <is>
          <t>Mvto. Debe</t>
        </is>
      </c>
      <c r="E4" s="1" t="inlineStr">
        <is>
          <t>Mvto. Haber</t>
        </is>
      </c>
      <c r="F4" s="1" t="inlineStr">
        <is>
          <t>Saldo Actual</t>
        </is>
      </c>
    </row>
    <row r="5">
      <c r="A5" t="inlineStr">
        <is>
          <t>100</t>
        </is>
      </c>
      <c r="B5" t="inlineStr">
        <is>
          <t>Capital social</t>
        </is>
      </c>
      <c r="C5" t="n">
        <v>10041.32</v>
      </c>
      <c r="D5" t="n">
        <v>51421.04</v>
      </c>
      <c r="E5" t="n">
        <v>6197.75</v>
      </c>
      <c r="F5" t="n">
        <v>55264.61</v>
      </c>
    </row>
    <row r="6">
      <c r="A6" t="inlineStr">
        <is>
          <t>129</t>
        </is>
      </c>
      <c r="B6" t="inlineStr">
        <is>
          <t>Resultado del ejercicio</t>
        </is>
      </c>
      <c r="C6" t="n">
        <v>-2166.95</v>
      </c>
      <c r="D6" t="n">
        <v>20315.22</v>
      </c>
      <c r="E6" t="n">
        <v>59457.38</v>
      </c>
      <c r="F6" t="n">
        <v>-41309.11</v>
      </c>
    </row>
    <row r="7">
      <c r="A7" t="inlineStr">
        <is>
          <t>281</t>
        </is>
      </c>
      <c r="B7" t="inlineStr">
        <is>
          <t>Amortización acumulada del inmovilizado material</t>
        </is>
      </c>
      <c r="C7" t="n">
        <v>1914.85</v>
      </c>
      <c r="D7" t="n">
        <v>45420.94</v>
      </c>
      <c r="E7" t="n">
        <v>997.54</v>
      </c>
      <c r="F7" t="n">
        <v>46338.25</v>
      </c>
    </row>
    <row r="8">
      <c r="A8" t="inlineStr">
        <is>
          <t>4720</t>
        </is>
      </c>
      <c r="B8" t="inlineStr">
        <is>
          <t>H.P. IVA SOPORTADO</t>
        </is>
      </c>
      <c r="C8" t="n">
        <v>-4422.81</v>
      </c>
      <c r="D8" t="n">
        <v>21501.82</v>
      </c>
      <c r="E8" t="n">
        <v>53760.13</v>
      </c>
      <c r="F8" t="n">
        <v>-36681.12</v>
      </c>
    </row>
    <row r="9">
      <c r="A9" t="inlineStr">
        <is>
          <t>4770</t>
        </is>
      </c>
      <c r="B9" t="inlineStr">
        <is>
          <t>H.P. IVA REPERCUTIDO</t>
        </is>
      </c>
      <c r="C9" t="n">
        <v>11996.81</v>
      </c>
      <c r="D9" t="n">
        <v>54056.61</v>
      </c>
      <c r="E9" t="n">
        <v>23268.52</v>
      </c>
      <c r="F9" t="n">
        <v>42784.9</v>
      </c>
    </row>
    <row r="10">
      <c r="A10" t="inlineStr">
        <is>
          <t>4751</t>
        </is>
      </c>
      <c r="B10" t="inlineStr">
        <is>
          <t>H.P. Acreedora por IS</t>
        </is>
      </c>
      <c r="C10" t="n">
        <v>7429.93</v>
      </c>
      <c r="D10" t="n">
        <v>37173.03</v>
      </c>
      <c r="E10" t="n">
        <v>37307.13</v>
      </c>
      <c r="F10" t="n">
        <v>7295.83</v>
      </c>
    </row>
    <row r="11">
      <c r="A11" t="inlineStr">
        <is>
          <t>4752</t>
        </is>
      </c>
      <c r="B11" t="inlineStr">
        <is>
          <t>H.P. Acreedora por IRPF</t>
        </is>
      </c>
      <c r="C11" t="n">
        <v>-2918.93</v>
      </c>
      <c r="D11" t="n">
        <v>71493.03</v>
      </c>
      <c r="E11" t="n">
        <v>15940</v>
      </c>
      <c r="F11" t="n">
        <v>52634.1</v>
      </c>
    </row>
    <row r="12">
      <c r="A12" t="inlineStr">
        <is>
          <t>4760</t>
        </is>
      </c>
      <c r="B12" t="inlineStr">
        <is>
          <t>Organismos de la Seguridad Social acreedores</t>
        </is>
      </c>
      <c r="C12" t="n">
        <v>19431.27</v>
      </c>
      <c r="D12" t="n">
        <v>74900.35000000001</v>
      </c>
      <c r="E12" t="n">
        <v>1400.36</v>
      </c>
      <c r="F12" t="n">
        <v>92931.25999999999</v>
      </c>
    </row>
    <row r="13">
      <c r="A13" t="inlineStr">
        <is>
          <t>570</t>
        </is>
      </c>
      <c r="B13" t="inlineStr">
        <is>
          <t>Caja, euros</t>
        </is>
      </c>
      <c r="C13" t="n">
        <v>5933.24</v>
      </c>
      <c r="D13" t="n">
        <v>65591.82000000001</v>
      </c>
      <c r="E13" t="n">
        <v>77448.66</v>
      </c>
      <c r="F13" t="n">
        <v>-5923.6</v>
      </c>
    </row>
    <row r="14">
      <c r="A14" t="inlineStr">
        <is>
          <t>572</t>
        </is>
      </c>
      <c r="B14" t="inlineStr">
        <is>
          <t>Bancos e instituciones de crédito c/c vista, euros</t>
        </is>
      </c>
      <c r="C14" t="n">
        <v>5685.73</v>
      </c>
      <c r="D14" t="n">
        <v>21492.58</v>
      </c>
      <c r="E14" t="n">
        <v>16786.98</v>
      </c>
      <c r="F14" t="n">
        <v>10391.33</v>
      </c>
    </row>
    <row r="15">
      <c r="A15" t="inlineStr">
        <is>
          <t>600</t>
        </is>
      </c>
      <c r="B15" t="inlineStr">
        <is>
          <t>Compras de mercaderías</t>
        </is>
      </c>
      <c r="C15" t="n">
        <v>18585.27</v>
      </c>
      <c r="D15" t="n">
        <v>16856.7</v>
      </c>
      <c r="E15" t="n">
        <v>46517.79</v>
      </c>
      <c r="F15" t="n">
        <v>-11075.82</v>
      </c>
    </row>
    <row r="16">
      <c r="A16" t="inlineStr">
        <is>
          <t>621</t>
        </is>
      </c>
      <c r="B16" t="inlineStr">
        <is>
          <t>Arrendamientos y cánones</t>
        </is>
      </c>
      <c r="C16" t="n">
        <v>-2314.74</v>
      </c>
      <c r="D16" t="n">
        <v>41925.26</v>
      </c>
      <c r="E16" t="n">
        <v>76219.23</v>
      </c>
      <c r="F16" t="n">
        <v>-36608.71</v>
      </c>
    </row>
    <row r="17">
      <c r="A17" t="inlineStr">
        <is>
          <t>622</t>
        </is>
      </c>
      <c r="B17" t="inlineStr">
        <is>
          <t>Reparaciones y conservación</t>
        </is>
      </c>
      <c r="C17" t="n">
        <v>-2552.27</v>
      </c>
      <c r="D17" t="n">
        <v>65617.36</v>
      </c>
      <c r="E17" t="n">
        <v>40699.55</v>
      </c>
      <c r="F17" t="n">
        <v>22365.54</v>
      </c>
    </row>
    <row r="18">
      <c r="A18" t="inlineStr">
        <is>
          <t>623</t>
        </is>
      </c>
      <c r="B18" t="inlineStr">
        <is>
          <t>Servicios de profesionales independientes</t>
        </is>
      </c>
      <c r="C18" t="n">
        <v>17058.42</v>
      </c>
      <c r="D18" t="n">
        <v>56266.96</v>
      </c>
      <c r="E18" t="n">
        <v>18510.69</v>
      </c>
      <c r="F18" t="n">
        <v>54814.69</v>
      </c>
    </row>
    <row r="19">
      <c r="A19" t="inlineStr">
        <is>
          <t>624</t>
        </is>
      </c>
      <c r="B19" t="inlineStr">
        <is>
          <t>Transportes</t>
        </is>
      </c>
      <c r="C19" t="n">
        <v>17340.35</v>
      </c>
      <c r="D19" t="n">
        <v>38891.25</v>
      </c>
      <c r="E19" t="n">
        <v>1986.75</v>
      </c>
      <c r="F19" t="n">
        <v>54244.85</v>
      </c>
    </row>
    <row r="20">
      <c r="A20" t="inlineStr">
        <is>
          <t>625</t>
        </is>
      </c>
      <c r="B20" t="inlineStr">
        <is>
          <t>Primas de seguros</t>
        </is>
      </c>
      <c r="C20" t="n">
        <v>-5906.65</v>
      </c>
      <c r="D20" t="n">
        <v>39335.69</v>
      </c>
      <c r="E20" t="n">
        <v>36060.82</v>
      </c>
      <c r="F20" t="n">
        <v>-2631.78</v>
      </c>
    </row>
    <row r="21">
      <c r="A21" t="inlineStr">
        <is>
          <t>627</t>
        </is>
      </c>
      <c r="B21" t="inlineStr">
        <is>
          <t>Publicidad, propaganda y RRPP</t>
        </is>
      </c>
      <c r="C21" t="n">
        <v>1850.73</v>
      </c>
      <c r="D21" t="n">
        <v>11256.58</v>
      </c>
      <c r="E21" t="n">
        <v>27516.81</v>
      </c>
      <c r="F21" t="n">
        <v>-14409.5</v>
      </c>
    </row>
    <row r="22">
      <c r="A22" t="inlineStr">
        <is>
          <t>628</t>
        </is>
      </c>
      <c r="B22" t="inlineStr">
        <is>
          <t>Suministros</t>
        </is>
      </c>
      <c r="C22" t="n">
        <v>2218.03</v>
      </c>
      <c r="D22" t="n">
        <v>67218.48</v>
      </c>
      <c r="E22" t="n">
        <v>139.31</v>
      </c>
      <c r="F22" t="n">
        <v>69297.2</v>
      </c>
    </row>
    <row r="23">
      <c r="A23" t="inlineStr">
        <is>
          <t>629</t>
        </is>
      </c>
      <c r="B23" t="inlineStr">
        <is>
          <t>Otros servicios</t>
        </is>
      </c>
      <c r="C23" t="n">
        <v>13519.09</v>
      </c>
      <c r="D23" t="n">
        <v>67128.86</v>
      </c>
      <c r="E23" t="n">
        <v>9603.309999999999</v>
      </c>
      <c r="F23" t="n">
        <v>71044.64</v>
      </c>
    </row>
    <row r="24">
      <c r="A24" t="inlineStr">
        <is>
          <t>630</t>
        </is>
      </c>
      <c r="B24" t="inlineStr">
        <is>
          <t>Impuesto sobre beneficios</t>
        </is>
      </c>
      <c r="C24" t="n">
        <v>18086.37</v>
      </c>
      <c r="D24" t="n">
        <v>57041.89</v>
      </c>
      <c r="E24" t="n">
        <v>72125.33</v>
      </c>
      <c r="F24" t="n">
        <v>3002.93</v>
      </c>
    </row>
    <row r="25">
      <c r="A25" t="inlineStr">
        <is>
          <t>631</t>
        </is>
      </c>
      <c r="B25" t="inlineStr">
        <is>
          <t>Otros tributos</t>
        </is>
      </c>
      <c r="C25" t="n">
        <v>1535.66</v>
      </c>
      <c r="D25" t="n">
        <v>29777.76</v>
      </c>
      <c r="E25" t="n">
        <v>31431.95</v>
      </c>
      <c r="F25" t="n">
        <v>-118.53</v>
      </c>
    </row>
    <row r="26">
      <c r="A26" t="inlineStr">
        <is>
          <t>640</t>
        </is>
      </c>
      <c r="B26" t="inlineStr">
        <is>
          <t>Sueldos y salarios</t>
        </is>
      </c>
      <c r="C26" t="n">
        <v>19968.61</v>
      </c>
      <c r="D26" t="n">
        <v>47134.13</v>
      </c>
      <c r="E26" t="n">
        <v>28856.75</v>
      </c>
      <c r="F26" t="n">
        <v>38245.99</v>
      </c>
    </row>
    <row r="27">
      <c r="A27" t="inlineStr">
        <is>
          <t>642</t>
        </is>
      </c>
      <c r="B27" t="inlineStr">
        <is>
          <t>Seguridad Social a cargo de la empresa</t>
        </is>
      </c>
      <c r="C27" t="n">
        <v>5129.37</v>
      </c>
      <c r="D27" t="n">
        <v>22012.42</v>
      </c>
      <c r="E27" t="n">
        <v>3861.45</v>
      </c>
      <c r="F27" t="n">
        <v>23280.34</v>
      </c>
    </row>
    <row r="28">
      <c r="A28" t="inlineStr">
        <is>
          <t>700</t>
        </is>
      </c>
      <c r="B28" t="inlineStr">
        <is>
          <t>Ventas de mercaderías</t>
        </is>
      </c>
      <c r="C28" t="n">
        <v>-3355.54</v>
      </c>
      <c r="D28" t="n">
        <v>66774.08</v>
      </c>
      <c r="E28" t="n">
        <v>22849.86</v>
      </c>
      <c r="F28" t="n">
        <v>40568.68</v>
      </c>
    </row>
    <row r="29">
      <c r="A29" t="inlineStr">
        <is>
          <t>705</t>
        </is>
      </c>
      <c r="B29" t="inlineStr">
        <is>
          <t>Prestaciones de servicios</t>
        </is>
      </c>
      <c r="C29" t="n">
        <v>18325.34</v>
      </c>
      <c r="D29" t="n">
        <v>19945.98</v>
      </c>
      <c r="E29" t="n">
        <v>21258.24</v>
      </c>
      <c r="F29" t="n">
        <v>17013.08</v>
      </c>
    </row>
    <row r="30">
      <c r="A30" t="inlineStr">
        <is>
          <t>4300000001</t>
        </is>
      </c>
      <c r="B30" t="inlineStr">
        <is>
          <t>BANCO SABADELL, S.A.</t>
        </is>
      </c>
      <c r="C30" t="n">
        <v>5463.78</v>
      </c>
      <c r="D30" t="n">
        <v>11390.94</v>
      </c>
      <c r="E30" t="n">
        <v>22400.96</v>
      </c>
      <c r="F30" t="n">
        <v>-5546.24</v>
      </c>
    </row>
    <row r="31">
      <c r="A31" t="inlineStr">
        <is>
          <t>4300000002</t>
        </is>
      </c>
      <c r="B31" t="inlineStr">
        <is>
          <t>CAIXABANK, SA</t>
        </is>
      </c>
      <c r="C31" t="n">
        <v>14145.22</v>
      </c>
      <c r="D31" t="n">
        <v>53055.99</v>
      </c>
      <c r="E31" t="n">
        <v>48717.74</v>
      </c>
      <c r="F31" t="n">
        <v>18483.47</v>
      </c>
    </row>
    <row r="32">
      <c r="A32" t="inlineStr">
        <is>
          <t>4300000003</t>
        </is>
      </c>
      <c r="B32" t="inlineStr">
        <is>
          <t>PREVENPYME, SL</t>
        </is>
      </c>
      <c r="C32" t="n">
        <v>7802.47</v>
      </c>
      <c r="D32" t="n">
        <v>54805.43</v>
      </c>
      <c r="E32" t="n">
        <v>56441.96</v>
      </c>
      <c r="F32" t="n">
        <v>6165.94</v>
      </c>
    </row>
    <row r="33">
      <c r="A33" t="inlineStr">
        <is>
          <t>4300000004</t>
        </is>
      </c>
      <c r="B33" t="inlineStr">
        <is>
          <t>EVENTOS MEDITERRÁNEOS, SL</t>
        </is>
      </c>
      <c r="C33" t="n">
        <v>6209.95</v>
      </c>
      <c r="D33" t="n">
        <v>43174.35</v>
      </c>
      <c r="E33" t="n">
        <v>2968.56</v>
      </c>
      <c r="F33" t="n">
        <v>46415.74</v>
      </c>
    </row>
    <row r="34">
      <c r="A34" t="inlineStr">
        <is>
          <t>4300000005</t>
        </is>
      </c>
      <c r="B34" t="inlineStr">
        <is>
          <t>DISTRIBUCIONES BADIA</t>
        </is>
      </c>
      <c r="C34" t="n">
        <v>9780.870000000001</v>
      </c>
      <c r="D34" t="n">
        <v>27051.63</v>
      </c>
      <c r="E34" t="n">
        <v>45160.08</v>
      </c>
      <c r="F34" t="n">
        <v>-8327.58</v>
      </c>
    </row>
    <row r="35">
      <c r="A35" t="inlineStr">
        <is>
          <t>4300000006</t>
        </is>
      </c>
      <c r="B35" t="inlineStr">
        <is>
          <t>INMOBILIARIA TUSET SLU</t>
        </is>
      </c>
      <c r="C35" t="n">
        <v>8067.57</v>
      </c>
      <c r="D35" t="n">
        <v>17172.5</v>
      </c>
      <c r="E35" t="n">
        <v>2938.61</v>
      </c>
      <c r="F35" t="n">
        <v>22301.46</v>
      </c>
    </row>
    <row r="36">
      <c r="A36" t="inlineStr">
        <is>
          <t>4300000007</t>
        </is>
      </c>
      <c r="B36" t="inlineStr">
        <is>
          <t>ASESORÍA MIRALLES</t>
        </is>
      </c>
      <c r="C36" t="n">
        <v>13572.15</v>
      </c>
      <c r="D36" t="n">
        <v>7638.68</v>
      </c>
      <c r="E36" t="n">
        <v>28331.05</v>
      </c>
      <c r="F36" t="n">
        <v>-7120.22</v>
      </c>
    </row>
    <row r="37">
      <c r="A37" t="inlineStr">
        <is>
          <t>4300000008</t>
        </is>
      </c>
      <c r="B37" t="inlineStr">
        <is>
          <t>FRUTAS CARIÑENA S.L.</t>
        </is>
      </c>
      <c r="C37" t="n">
        <v>2201.43</v>
      </c>
      <c r="D37" t="n">
        <v>17866.31</v>
      </c>
      <c r="E37" t="n">
        <v>44341.95</v>
      </c>
      <c r="F37" t="n">
        <v>-24274.21</v>
      </c>
    </row>
    <row r="38">
      <c r="A38" t="inlineStr">
        <is>
          <t>4300000009</t>
        </is>
      </c>
      <c r="B38" t="inlineStr">
        <is>
          <t>ARNAU TORRES DKAIDEK</t>
        </is>
      </c>
      <c r="C38" t="n">
        <v>14537.78</v>
      </c>
      <c r="D38" t="n">
        <v>15610.14</v>
      </c>
      <c r="E38" t="n">
        <v>39359.72</v>
      </c>
      <c r="F38" t="n">
        <v>-9211.799999999999</v>
      </c>
    </row>
    <row r="39">
      <c r="A39" t="inlineStr">
        <is>
          <t>4300000010</t>
        </is>
      </c>
      <c r="B39" t="inlineStr">
        <is>
          <t>NATALIA POLO CHOCANO</t>
        </is>
      </c>
      <c r="C39" t="n">
        <v>1366.31</v>
      </c>
      <c r="D39" t="n">
        <v>33439.3</v>
      </c>
      <c r="E39" t="n">
        <v>23662.07</v>
      </c>
      <c r="F39" t="n">
        <v>11143.54</v>
      </c>
    </row>
    <row r="40">
      <c r="A40" t="inlineStr">
        <is>
          <t>4300000011</t>
        </is>
      </c>
      <c r="B40" t="inlineStr">
        <is>
          <t>ADRIANA HUERTAS</t>
        </is>
      </c>
      <c r="C40" t="n">
        <v>-1237.02</v>
      </c>
      <c r="D40" t="n">
        <v>9699.42</v>
      </c>
      <c r="E40" t="n">
        <v>12472.35</v>
      </c>
      <c r="F40" t="n">
        <v>-4009.95</v>
      </c>
    </row>
    <row r="41">
      <c r="A41" t="inlineStr">
        <is>
          <t>4300000012</t>
        </is>
      </c>
      <c r="B41" t="inlineStr">
        <is>
          <t>HORTENSIA HERRERO</t>
        </is>
      </c>
      <c r="C41" t="n">
        <v>13166.22</v>
      </c>
      <c r="D41" t="n">
        <v>29824.55</v>
      </c>
      <c r="E41" t="n">
        <v>13201.52</v>
      </c>
      <c r="F41" t="n">
        <v>29789.25</v>
      </c>
    </row>
    <row r="42">
      <c r="A42" t="inlineStr">
        <is>
          <t>4300000013</t>
        </is>
      </c>
      <c r="B42" t="inlineStr">
        <is>
          <t>FUNDACIÓN ARTE HORTENSIA HERRERO</t>
        </is>
      </c>
      <c r="C42" t="n">
        <v>13172.06</v>
      </c>
      <c r="D42" t="n">
        <v>59788.51</v>
      </c>
      <c r="E42" t="n">
        <v>26997.63</v>
      </c>
      <c r="F42" t="n">
        <v>45962.94</v>
      </c>
    </row>
    <row r="43">
      <c r="A43" t="inlineStr">
        <is>
          <t>4300000014</t>
        </is>
      </c>
      <c r="B43" t="inlineStr">
        <is>
          <t>TALLERES MONTANER</t>
        </is>
      </c>
      <c r="C43" t="n">
        <v>-1777.88</v>
      </c>
      <c r="D43" t="n">
        <v>11544.43</v>
      </c>
      <c r="E43" t="n">
        <v>5442.87</v>
      </c>
      <c r="F43" t="n">
        <v>4323.68</v>
      </c>
    </row>
    <row r="44">
      <c r="A44" t="inlineStr">
        <is>
          <t>4300000015</t>
        </is>
      </c>
      <c r="B44" t="inlineStr">
        <is>
          <t>BENLLOCH Y ASOCIADOS</t>
        </is>
      </c>
      <c r="C44" t="n">
        <v>2168.13</v>
      </c>
      <c r="D44" t="n">
        <v>5465.66</v>
      </c>
      <c r="E44" t="n">
        <v>14347.59</v>
      </c>
      <c r="F44" t="n">
        <v>-6713.8</v>
      </c>
    </row>
    <row r="45">
      <c r="A45" t="inlineStr">
        <is>
          <t>4300000016</t>
        </is>
      </c>
      <c r="B45" t="inlineStr">
        <is>
          <t>MODICA E HIJOS S.L.</t>
        </is>
      </c>
      <c r="C45" t="n">
        <v>537.97</v>
      </c>
      <c r="D45" t="n">
        <v>34177.06</v>
      </c>
      <c r="E45" t="n">
        <v>53235.09</v>
      </c>
      <c r="F45" t="n">
        <v>-18520.06</v>
      </c>
    </row>
    <row r="46">
      <c r="A46" t="inlineStr">
        <is>
          <t>4300000017</t>
        </is>
      </c>
      <c r="B46" t="inlineStr">
        <is>
          <t>ASENSI CONSULTORES</t>
        </is>
      </c>
      <c r="C46" t="n">
        <v>10118.32</v>
      </c>
      <c r="D46" t="n">
        <v>24766.9</v>
      </c>
      <c r="E46" t="n">
        <v>24833.01</v>
      </c>
      <c r="F46" t="n">
        <v>10052.21</v>
      </c>
    </row>
    <row r="47">
      <c r="A47" t="inlineStr">
        <is>
          <t>4300000018</t>
        </is>
      </c>
      <c r="B47" t="inlineStr">
        <is>
          <t>RIERA INVERSIONES SL</t>
        </is>
      </c>
      <c r="C47" t="n">
        <v>5721.28</v>
      </c>
      <c r="D47" t="n">
        <v>22611.95</v>
      </c>
      <c r="E47" t="n">
        <v>20292.19</v>
      </c>
      <c r="F47" t="n">
        <v>8041.04</v>
      </c>
    </row>
    <row r="48">
      <c r="A48" t="inlineStr">
        <is>
          <t>4300000019</t>
        </is>
      </c>
      <c r="B48" t="inlineStr">
        <is>
          <t>BELLO LOGÍSTICA</t>
        </is>
      </c>
      <c r="C48" t="n">
        <v>-3289.84</v>
      </c>
      <c r="D48" t="n">
        <v>16650.98</v>
      </c>
      <c r="E48" t="n">
        <v>58061.12</v>
      </c>
      <c r="F48" t="n">
        <v>-44699.98</v>
      </c>
    </row>
    <row r="49">
      <c r="A49" t="inlineStr">
        <is>
          <t>4300000020</t>
        </is>
      </c>
      <c r="B49" t="inlineStr">
        <is>
          <t>VALCARCEL HERMANOS</t>
        </is>
      </c>
      <c r="C49" t="n">
        <v>-2045.46</v>
      </c>
      <c r="D49" t="n">
        <v>30203.74</v>
      </c>
      <c r="E49" t="n">
        <v>37777.61</v>
      </c>
      <c r="F49" t="n">
        <v>-9619.33</v>
      </c>
    </row>
    <row r="50">
      <c r="A50" t="inlineStr">
        <is>
          <t>4400000001</t>
        </is>
      </c>
      <c r="B50" t="inlineStr">
        <is>
          <t>PRÉSTAMOS A C/P JUAN PEDRO</t>
        </is>
      </c>
      <c r="C50" t="n">
        <v>12325.8</v>
      </c>
      <c r="D50" t="n">
        <v>12957.79</v>
      </c>
      <c r="E50" t="n">
        <v>16261.25</v>
      </c>
      <c r="F50" t="n">
        <v>9022.34</v>
      </c>
    </row>
    <row r="51">
      <c r="A51" t="inlineStr">
        <is>
          <t>4400000002</t>
        </is>
      </c>
      <c r="B51" t="inlineStr">
        <is>
          <t>CRÉDITOS A C/P MIGUEL CAMACHO</t>
        </is>
      </c>
      <c r="C51" t="n">
        <v>344.85</v>
      </c>
      <c r="D51" t="n">
        <v>23985.43</v>
      </c>
      <c r="E51" t="n">
        <v>26751.5</v>
      </c>
      <c r="F51" t="n">
        <v>-2421.22</v>
      </c>
    </row>
    <row r="52">
      <c r="A52" t="inlineStr">
        <is>
          <t>4400000003</t>
        </is>
      </c>
      <c r="B52" t="inlineStr">
        <is>
          <t>ANTICIPO LAURA GURREA</t>
        </is>
      </c>
      <c r="C52" t="n">
        <v>14101.9</v>
      </c>
      <c r="D52" t="n">
        <v>50921.02</v>
      </c>
      <c r="E52" t="n">
        <v>52373.46</v>
      </c>
      <c r="F52" t="n">
        <v>12649.46</v>
      </c>
    </row>
    <row r="53">
      <c r="A53" t="inlineStr">
        <is>
          <t>4400000004</t>
        </is>
      </c>
      <c r="B53" t="inlineStr">
        <is>
          <t>ANTICIPO BEATRIZ HERGUETA</t>
        </is>
      </c>
      <c r="C53" t="n">
        <v>-4074.7</v>
      </c>
      <c r="D53" t="n">
        <v>1934.61</v>
      </c>
      <c r="E53" t="n">
        <v>42570.71</v>
      </c>
      <c r="F53" t="n">
        <v>-44710.8</v>
      </c>
    </row>
    <row r="54">
      <c r="A54" t="inlineStr">
        <is>
          <t>4400000005</t>
        </is>
      </c>
      <c r="B54" t="inlineStr">
        <is>
          <t>ANTICIPO CAROLINA LLARIO</t>
        </is>
      </c>
      <c r="C54" t="n">
        <v>12966.08</v>
      </c>
      <c r="D54" t="n">
        <v>28396.1</v>
      </c>
      <c r="E54" t="n">
        <v>35230.59</v>
      </c>
      <c r="F54" t="n">
        <v>6131.59</v>
      </c>
    </row>
    <row r="55">
      <c r="A55" t="inlineStr">
        <is>
          <t>4400000006</t>
        </is>
      </c>
      <c r="B55" t="inlineStr">
        <is>
          <t>ANTICIPO CLARA SANTAMARIA</t>
        </is>
      </c>
      <c r="C55" t="n">
        <v>-4496.52</v>
      </c>
      <c r="D55" t="n">
        <v>23491.27</v>
      </c>
      <c r="E55" t="n">
        <v>55609.64</v>
      </c>
      <c r="F55" t="n">
        <v>-36614.89</v>
      </c>
    </row>
    <row r="56">
      <c r="A56" t="inlineStr">
        <is>
          <t>4100000001</t>
        </is>
      </c>
      <c r="B56" t="inlineStr">
        <is>
          <t>DISTRIBUCIONES CHUST S.L.</t>
        </is>
      </c>
      <c r="C56" t="n">
        <v>11598.99</v>
      </c>
      <c r="D56" t="n">
        <v>51327.76</v>
      </c>
      <c r="E56" t="n">
        <v>58334.47</v>
      </c>
      <c r="F56" t="n">
        <v>4592.28</v>
      </c>
    </row>
    <row r="57">
      <c r="A57" t="inlineStr">
        <is>
          <t>4100000002</t>
        </is>
      </c>
      <c r="B57" t="inlineStr">
        <is>
          <t>MAYORISTAS LAMATA</t>
        </is>
      </c>
      <c r="C57" t="n">
        <v>345.07</v>
      </c>
      <c r="D57" t="n">
        <v>6542.76</v>
      </c>
      <c r="E57" t="n">
        <v>9262.700000000001</v>
      </c>
      <c r="F57" t="n">
        <v>-2374.87</v>
      </c>
    </row>
    <row r="58">
      <c r="A58" t="inlineStr">
        <is>
          <t>4100000003</t>
        </is>
      </c>
      <c r="B58" t="inlineStr">
        <is>
          <t>TR LOGÍSTICA Y TRANSPORTES JUAN LARA SL</t>
        </is>
      </c>
      <c r="C58" t="n">
        <v>5686.13</v>
      </c>
      <c r="D58" t="n">
        <v>40924.5</v>
      </c>
      <c r="E58" t="n">
        <v>56489.43</v>
      </c>
      <c r="F58" t="n">
        <v>-9878.799999999999</v>
      </c>
    </row>
    <row r="59">
      <c r="A59" t="inlineStr">
        <is>
          <t>4100000004</t>
        </is>
      </c>
      <c r="B59" t="inlineStr">
        <is>
          <t>PUBLICIDAD ALBA EVENTOS</t>
        </is>
      </c>
      <c r="C59" t="n">
        <v>9573.84</v>
      </c>
      <c r="D59" t="n">
        <v>38840.89</v>
      </c>
      <c r="E59" t="n">
        <v>45888.03</v>
      </c>
      <c r="F59" t="n">
        <v>2526.7</v>
      </c>
    </row>
    <row r="60">
      <c r="A60" t="inlineStr">
        <is>
          <t>99000</t>
        </is>
      </c>
      <c r="B60" t="inlineStr">
        <is>
          <t>FÓRMULA EXTERNA 0</t>
        </is>
      </c>
      <c r="C60">
        <f>SUMIFS('Mayo 25'!$E:$E,'Mayo 25'!$A:$A,A10)</f>
        <v/>
      </c>
      <c r="D60">
        <f>+AB10+BK10</f>
        <v/>
      </c>
      <c r="E60">
        <f>SUMIFS('Septiembre 25'!$F:$F,'Septiembre 25'!$A:$A,A20)</f>
        <v/>
      </c>
      <c r="F60">
        <f>H10+AQ10-SUMIFS('Octubre 25'!$F:$F,'Octubre 25'!$A:$A,A10)</f>
        <v/>
      </c>
    </row>
    <row r="61">
      <c r="A61" t="inlineStr">
        <is>
          <t>99001</t>
        </is>
      </c>
      <c r="B61" t="inlineStr">
        <is>
          <t>FÓRMULA EXTERNA 1</t>
        </is>
      </c>
      <c r="C61">
        <f>SUMIFS('Mayo 25'!$E:$E,'Mayo 25'!$A:$A,A11)</f>
        <v/>
      </c>
      <c r="D61">
        <f>+AB11+BK11</f>
        <v/>
      </c>
      <c r="E61">
        <f>SUMIFS('Septiembre 25'!$F:$F,'Septiembre 25'!$A:$A,A21)</f>
        <v/>
      </c>
      <c r="F61">
        <f>H11+AQ11-SUMIFS('Octubre 25'!$F:$F,'Octubre 25'!$A:$A,A11)</f>
        <v/>
      </c>
    </row>
    <row r="62">
      <c r="A62" t="inlineStr">
        <is>
          <t>99002</t>
        </is>
      </c>
      <c r="B62" t="inlineStr">
        <is>
          <t>FÓRMULA EXTERNA 2</t>
        </is>
      </c>
      <c r="C62">
        <f>SUMIFS('Mayo 25'!$E:$E,'Mayo 25'!$A:$A,A12)</f>
        <v/>
      </c>
      <c r="D62">
        <f>+AB12+BK12</f>
        <v/>
      </c>
      <c r="E62">
        <f>SUMIFS('Septiembre 25'!$F:$F,'Septiembre 25'!$A:$A,A22)</f>
        <v/>
      </c>
      <c r="F62">
        <f>H12+AQ12-SUMIFS('Octubre 25'!$F:$F,'Octubre 25'!$A:$A,A12)</f>
        <v/>
      </c>
    </row>
    <row r="63">
      <c r="A63" t="inlineStr">
        <is>
          <t>99003</t>
        </is>
      </c>
      <c r="B63" t="inlineStr">
        <is>
          <t>FÓRMULA EXTERNA 3</t>
        </is>
      </c>
      <c r="C63">
        <f>SUMIFS('Mayo 25'!$E:$E,'Mayo 25'!$A:$A,A13)</f>
        <v/>
      </c>
      <c r="D63">
        <f>+AB13+BK13</f>
        <v/>
      </c>
      <c r="E63">
        <f>SUMIFS('Septiembre 25'!$F:$F,'Septiembre 25'!$A:$A,A23)</f>
        <v/>
      </c>
      <c r="F63">
        <f>H13+AQ13-SUMIFS('Octubre 25'!$F:$F,'Octubre 25'!$A:$A,A13)</f>
        <v/>
      </c>
    </row>
    <row r="64">
      <c r="A64" t="inlineStr">
        <is>
          <t>99004</t>
        </is>
      </c>
      <c r="B64" t="inlineStr">
        <is>
          <t>FÓRMULA EXTERNA 4</t>
        </is>
      </c>
      <c r="C64">
        <f>SUMIFS('Mayo 25'!$E:$E,'Mayo 25'!$A:$A,A14)</f>
        <v/>
      </c>
      <c r="D64">
        <f>+AB14+BK14</f>
        <v/>
      </c>
      <c r="E64">
        <f>SUMIFS('Septiembre 25'!$F:$F,'Septiembre 25'!$A:$A,A24)</f>
        <v/>
      </c>
      <c r="F64">
        <f>H14+AQ14-SUMIFS('Octubre 25'!$F:$F,'Octubre 25'!$A:$A,A14)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Aromas y Sabores del Mediterráneo S.L.</t>
        </is>
      </c>
    </row>
    <row r="2">
      <c r="A2" t="inlineStr">
        <is>
          <t>Sumas y Saldos Mayo 25</t>
        </is>
      </c>
    </row>
    <row r="4">
      <c r="A4" s="1" t="inlineStr">
        <is>
          <t>Subcuenta</t>
        </is>
      </c>
      <c r="B4" s="1" t="inlineStr">
        <is>
          <t>Concepto</t>
        </is>
      </c>
      <c r="C4" s="1" t="inlineStr">
        <is>
          <t>Saldo Anterior</t>
        </is>
      </c>
      <c r="D4" s="1" t="inlineStr">
        <is>
          <t>Mvto. Debe</t>
        </is>
      </c>
      <c r="E4" s="1" t="inlineStr">
        <is>
          <t>Mvto. Haber</t>
        </is>
      </c>
      <c r="F4" s="1" t="inlineStr">
        <is>
          <t>Saldo Actual</t>
        </is>
      </c>
    </row>
    <row r="5">
      <c r="A5" t="inlineStr">
        <is>
          <t>100</t>
        </is>
      </c>
      <c r="B5" t="inlineStr">
        <is>
          <t>Capital social</t>
        </is>
      </c>
      <c r="C5" t="n">
        <v>5890.45</v>
      </c>
      <c r="D5" t="n">
        <v>44120.07</v>
      </c>
      <c r="E5" t="n">
        <v>3163.7</v>
      </c>
      <c r="F5" t="n">
        <v>46846.82</v>
      </c>
    </row>
    <row r="6">
      <c r="A6" t="inlineStr">
        <is>
          <t>129</t>
        </is>
      </c>
      <c r="B6" t="inlineStr">
        <is>
          <t>Resultado del ejercicio</t>
        </is>
      </c>
      <c r="C6" t="n">
        <v>14339.76</v>
      </c>
      <c r="D6" t="n">
        <v>18606.15</v>
      </c>
      <c r="E6" t="n">
        <v>73593.61</v>
      </c>
      <c r="F6" t="n">
        <v>-40647.7</v>
      </c>
    </row>
    <row r="7">
      <c r="A7" t="inlineStr">
        <is>
          <t>281</t>
        </is>
      </c>
      <c r="B7" t="inlineStr">
        <is>
          <t>Amortización acumulada del inmovilizado material</t>
        </is>
      </c>
      <c r="C7" t="n">
        <v>10783.15</v>
      </c>
      <c r="D7" t="n">
        <v>24302.58</v>
      </c>
      <c r="E7" t="n">
        <v>10237.35</v>
      </c>
      <c r="F7" t="n">
        <v>24848.38</v>
      </c>
    </row>
    <row r="8">
      <c r="A8" t="inlineStr">
        <is>
          <t>4720</t>
        </is>
      </c>
      <c r="B8" t="inlineStr">
        <is>
          <t>H.P. IVA SOPORTADO</t>
        </is>
      </c>
      <c r="C8" t="n">
        <v>546.64</v>
      </c>
      <c r="D8" t="n">
        <v>50903.29</v>
      </c>
      <c r="E8" t="n">
        <v>55886.55</v>
      </c>
      <c r="F8" t="n">
        <v>-4436.62</v>
      </c>
    </row>
    <row r="9">
      <c r="A9" t="inlineStr">
        <is>
          <t>4770</t>
        </is>
      </c>
      <c r="B9" t="inlineStr">
        <is>
          <t>H.P. IVA REPERCUTIDO</t>
        </is>
      </c>
      <c r="C9" t="n">
        <v>-3084.55</v>
      </c>
      <c r="D9" t="n">
        <v>5628.15</v>
      </c>
      <c r="E9" t="n">
        <v>41954.93</v>
      </c>
      <c r="F9" t="n">
        <v>-39411.33</v>
      </c>
    </row>
    <row r="10">
      <c r="A10" t="inlineStr">
        <is>
          <t>4751</t>
        </is>
      </c>
      <c r="B10" t="inlineStr">
        <is>
          <t>H.P. Acreedora por IS</t>
        </is>
      </c>
      <c r="C10" t="n">
        <v>9155.17</v>
      </c>
      <c r="D10" t="n">
        <v>31046.56</v>
      </c>
      <c r="E10" t="n">
        <v>17886.64</v>
      </c>
      <c r="F10" t="n">
        <v>22315.09</v>
      </c>
    </row>
    <row r="11">
      <c r="A11" t="inlineStr">
        <is>
          <t>4752</t>
        </is>
      </c>
      <c r="B11" t="inlineStr">
        <is>
          <t>H.P. Acreedora por IRPF</t>
        </is>
      </c>
      <c r="C11" t="n">
        <v>9627.58</v>
      </c>
      <c r="D11" t="n">
        <v>836.9299999999999</v>
      </c>
      <c r="E11" t="n">
        <v>24121.7</v>
      </c>
      <c r="F11" t="n">
        <v>-13657.19</v>
      </c>
    </row>
    <row r="12">
      <c r="A12" t="inlineStr">
        <is>
          <t>4760</t>
        </is>
      </c>
      <c r="B12" t="inlineStr">
        <is>
          <t>Organismos de la Seguridad Social acreedores</t>
        </is>
      </c>
      <c r="C12" t="n">
        <v>5977.96</v>
      </c>
      <c r="D12" t="n">
        <v>76715.2</v>
      </c>
      <c r="E12" t="n">
        <v>51566.05</v>
      </c>
      <c r="F12" t="n">
        <v>31127.11</v>
      </c>
    </row>
    <row r="13">
      <c r="A13" t="inlineStr">
        <is>
          <t>570</t>
        </is>
      </c>
      <c r="B13" t="inlineStr">
        <is>
          <t>Caja, euros</t>
        </is>
      </c>
      <c r="C13" t="n">
        <v>16978.12</v>
      </c>
      <c r="D13" t="n">
        <v>38024.34</v>
      </c>
      <c r="E13" t="n">
        <v>18781.45</v>
      </c>
      <c r="F13" t="n">
        <v>36221.01</v>
      </c>
    </row>
    <row r="14">
      <c r="A14" t="inlineStr">
        <is>
          <t>572</t>
        </is>
      </c>
      <c r="B14" t="inlineStr">
        <is>
          <t>Bancos e instituciones de crédito c/c vista, euros</t>
        </is>
      </c>
      <c r="C14" t="n">
        <v>423.52</v>
      </c>
      <c r="D14" t="n">
        <v>76849.14</v>
      </c>
      <c r="E14" t="n">
        <v>56372.29</v>
      </c>
      <c r="F14" t="n">
        <v>20900.37</v>
      </c>
    </row>
    <row r="15">
      <c r="A15" t="inlineStr">
        <is>
          <t>600</t>
        </is>
      </c>
      <c r="B15" t="inlineStr">
        <is>
          <t>Compras de mercaderías</t>
        </is>
      </c>
      <c r="C15" t="n">
        <v>1992.34</v>
      </c>
      <c r="D15" t="n">
        <v>1742.99</v>
      </c>
      <c r="E15" t="n">
        <v>39864.82</v>
      </c>
      <c r="F15" t="n">
        <v>-36129.49</v>
      </c>
    </row>
    <row r="16">
      <c r="A16" t="inlineStr">
        <is>
          <t>621</t>
        </is>
      </c>
      <c r="B16" t="inlineStr">
        <is>
          <t>Arrendamientos y cánones</t>
        </is>
      </c>
      <c r="C16" t="n">
        <v>11536.04</v>
      </c>
      <c r="D16" t="n">
        <v>33601.27</v>
      </c>
      <c r="E16" t="n">
        <v>20580.49</v>
      </c>
      <c r="F16" t="n">
        <v>24556.82</v>
      </c>
    </row>
    <row r="17">
      <c r="A17" t="inlineStr">
        <is>
          <t>622</t>
        </is>
      </c>
      <c r="B17" t="inlineStr">
        <is>
          <t>Reparaciones y conservación</t>
        </is>
      </c>
      <c r="C17" t="n">
        <v>11351.23</v>
      </c>
      <c r="D17" t="n">
        <v>74012.87</v>
      </c>
      <c r="E17" t="n">
        <v>18142.89</v>
      </c>
      <c r="F17" t="n">
        <v>67221.21000000001</v>
      </c>
    </row>
    <row r="18">
      <c r="A18" t="inlineStr">
        <is>
          <t>623</t>
        </is>
      </c>
      <c r="B18" t="inlineStr">
        <is>
          <t>Servicios de profesionales independientes</t>
        </is>
      </c>
      <c r="C18" t="n">
        <v>-5113.47</v>
      </c>
      <c r="D18" t="n">
        <v>27044.13</v>
      </c>
      <c r="E18" t="n">
        <v>33644.55</v>
      </c>
      <c r="F18" t="n">
        <v>-11713.89</v>
      </c>
    </row>
    <row r="19">
      <c r="A19" t="inlineStr">
        <is>
          <t>624</t>
        </is>
      </c>
      <c r="B19" t="inlineStr">
        <is>
          <t>Transportes</t>
        </is>
      </c>
      <c r="C19" t="n">
        <v>11746.73</v>
      </c>
      <c r="D19" t="n">
        <v>15846.37</v>
      </c>
      <c r="E19" t="n">
        <v>63765.14</v>
      </c>
      <c r="F19" t="n">
        <v>-36172.04</v>
      </c>
    </row>
    <row r="20">
      <c r="A20" t="inlineStr">
        <is>
          <t>625</t>
        </is>
      </c>
      <c r="B20" t="inlineStr">
        <is>
          <t>Primas de seguros</t>
        </is>
      </c>
      <c r="C20" t="n">
        <v>13217.36</v>
      </c>
      <c r="D20" t="n">
        <v>40390.27</v>
      </c>
      <c r="E20" t="n">
        <v>16417.49</v>
      </c>
      <c r="F20" t="n">
        <v>37190.14</v>
      </c>
    </row>
    <row r="21">
      <c r="A21" t="inlineStr">
        <is>
          <t>627</t>
        </is>
      </c>
      <c r="B21" t="inlineStr">
        <is>
          <t>Publicidad, propaganda y RRPP</t>
        </is>
      </c>
      <c r="C21" t="n">
        <v>19216.33</v>
      </c>
      <c r="D21" t="n">
        <v>24937.26</v>
      </c>
      <c r="E21" t="n">
        <v>65600.36</v>
      </c>
      <c r="F21" t="n">
        <v>-21446.77</v>
      </c>
    </row>
    <row r="22">
      <c r="A22" t="inlineStr">
        <is>
          <t>628</t>
        </is>
      </c>
      <c r="B22" t="inlineStr">
        <is>
          <t>Suministros</t>
        </is>
      </c>
      <c r="C22" t="n">
        <v>1.03</v>
      </c>
      <c r="D22" t="n">
        <v>17715.43</v>
      </c>
      <c r="E22" t="n">
        <v>60837.66</v>
      </c>
      <c r="F22" t="n">
        <v>-43121.2</v>
      </c>
    </row>
    <row r="23">
      <c r="A23" t="inlineStr">
        <is>
          <t>629</t>
        </is>
      </c>
      <c r="B23" t="inlineStr">
        <is>
          <t>Otros servicios</t>
        </is>
      </c>
      <c r="C23" t="n">
        <v>1668.25</v>
      </c>
      <c r="D23" t="n">
        <v>76154.14999999999</v>
      </c>
      <c r="E23" t="n">
        <v>39661.18</v>
      </c>
      <c r="F23" t="n">
        <v>38161.22</v>
      </c>
    </row>
    <row r="24">
      <c r="A24" t="inlineStr">
        <is>
          <t>630</t>
        </is>
      </c>
      <c r="B24" t="inlineStr">
        <is>
          <t>Impuesto sobre beneficios</t>
        </is>
      </c>
      <c r="C24" t="n">
        <v>-1129.86</v>
      </c>
      <c r="D24" t="n">
        <v>17865.93</v>
      </c>
      <c r="E24" t="n">
        <v>33362.33</v>
      </c>
      <c r="F24" t="n">
        <v>-16626.26</v>
      </c>
    </row>
    <row r="25">
      <c r="A25" t="inlineStr">
        <is>
          <t>631</t>
        </is>
      </c>
      <c r="B25" t="inlineStr">
        <is>
          <t>Otros tributos</t>
        </is>
      </c>
      <c r="C25" t="n">
        <v>11297.65</v>
      </c>
      <c r="D25" t="n">
        <v>75900.89999999999</v>
      </c>
      <c r="E25" t="n">
        <v>11710.64</v>
      </c>
      <c r="F25" t="n">
        <v>75487.91</v>
      </c>
    </row>
    <row r="26">
      <c r="A26" t="inlineStr">
        <is>
          <t>640</t>
        </is>
      </c>
      <c r="B26" t="inlineStr">
        <is>
          <t>Sueldos y salarios</t>
        </is>
      </c>
      <c r="C26" t="n">
        <v>4229.96</v>
      </c>
      <c r="D26" t="n">
        <v>17035.93</v>
      </c>
      <c r="E26" t="n">
        <v>77929.58</v>
      </c>
      <c r="F26" t="n">
        <v>-56663.69</v>
      </c>
    </row>
    <row r="27">
      <c r="A27" t="inlineStr">
        <is>
          <t>642</t>
        </is>
      </c>
      <c r="B27" t="inlineStr">
        <is>
          <t>Seguridad Social a cargo de la empresa</t>
        </is>
      </c>
      <c r="C27" t="n">
        <v>-2310.31</v>
      </c>
      <c r="D27" t="n">
        <v>4147.24</v>
      </c>
      <c r="E27" t="n">
        <v>4810.82</v>
      </c>
      <c r="F27" t="n">
        <v>-2973.89</v>
      </c>
    </row>
    <row r="28">
      <c r="A28" t="inlineStr">
        <is>
          <t>700</t>
        </is>
      </c>
      <c r="B28" t="inlineStr">
        <is>
          <t>Ventas de mercaderías</t>
        </is>
      </c>
      <c r="C28" t="n">
        <v>4226.36</v>
      </c>
      <c r="D28" t="n">
        <v>71853.39</v>
      </c>
      <c r="E28" t="n">
        <v>70686.69</v>
      </c>
      <c r="F28" t="n">
        <v>5393.06</v>
      </c>
    </row>
    <row r="29">
      <c r="A29" t="inlineStr">
        <is>
          <t>705</t>
        </is>
      </c>
      <c r="B29" t="inlineStr">
        <is>
          <t>Prestaciones de servicios</t>
        </is>
      </c>
      <c r="C29" t="n">
        <v>13050.82</v>
      </c>
      <c r="D29" t="n">
        <v>79802.38</v>
      </c>
      <c r="E29" t="n">
        <v>74527.64</v>
      </c>
      <c r="F29" t="n">
        <v>18325.56</v>
      </c>
    </row>
    <row r="30">
      <c r="A30" t="inlineStr">
        <is>
          <t>4300000001</t>
        </is>
      </c>
      <c r="B30" t="inlineStr">
        <is>
          <t>BANCO SABADELL, S.A.</t>
        </is>
      </c>
      <c r="C30" t="n">
        <v>1920.23</v>
      </c>
      <c r="D30" t="n">
        <v>11130.73</v>
      </c>
      <c r="E30" t="n">
        <v>56152.89</v>
      </c>
      <c r="F30" t="n">
        <v>-43101.93</v>
      </c>
    </row>
    <row r="31">
      <c r="A31" t="inlineStr">
        <is>
          <t>4300000002</t>
        </is>
      </c>
      <c r="B31" t="inlineStr">
        <is>
          <t>CAIXABANK, SA</t>
        </is>
      </c>
      <c r="C31" t="n">
        <v>10053.01</v>
      </c>
      <c r="D31" t="n">
        <v>1913.62</v>
      </c>
      <c r="E31" t="n">
        <v>39865.79</v>
      </c>
      <c r="F31" t="n">
        <v>-27899.16</v>
      </c>
    </row>
    <row r="32">
      <c r="A32" t="inlineStr">
        <is>
          <t>4300000003</t>
        </is>
      </c>
      <c r="B32" t="inlineStr">
        <is>
          <t>PREVENPYME, SL</t>
        </is>
      </c>
      <c r="C32" t="n">
        <v>2883.08</v>
      </c>
      <c r="D32" t="n">
        <v>22433.02</v>
      </c>
      <c r="E32" t="n">
        <v>19901.85</v>
      </c>
      <c r="F32" t="n">
        <v>5414.25</v>
      </c>
    </row>
    <row r="33">
      <c r="A33" t="inlineStr">
        <is>
          <t>4300000004</t>
        </is>
      </c>
      <c r="B33" t="inlineStr">
        <is>
          <t>EVENTOS MEDITERRÁNEOS, SL</t>
        </is>
      </c>
      <c r="C33" t="n">
        <v>-1199.41</v>
      </c>
      <c r="D33" t="n">
        <v>172.24</v>
      </c>
      <c r="E33" t="n">
        <v>16788.39</v>
      </c>
      <c r="F33" t="n">
        <v>-17815.56</v>
      </c>
    </row>
    <row r="34">
      <c r="A34" t="inlineStr">
        <is>
          <t>4300000005</t>
        </is>
      </c>
      <c r="B34" t="inlineStr">
        <is>
          <t>DISTRIBUCIONES BADIA</t>
        </is>
      </c>
      <c r="C34" t="n">
        <v>2353.6</v>
      </c>
      <c r="D34" t="n">
        <v>57330.89</v>
      </c>
      <c r="E34" t="n">
        <v>7422.5</v>
      </c>
      <c r="F34" t="n">
        <v>52261.99</v>
      </c>
    </row>
    <row r="35">
      <c r="A35" t="inlineStr">
        <is>
          <t>4300000006</t>
        </is>
      </c>
      <c r="B35" t="inlineStr">
        <is>
          <t>INMOBILIARIA TUSET SLU</t>
        </is>
      </c>
      <c r="C35" t="n">
        <v>14303.29</v>
      </c>
      <c r="D35" t="n">
        <v>12444.15</v>
      </c>
      <c r="E35" t="n">
        <v>21397.75</v>
      </c>
      <c r="F35" t="n">
        <v>5349.69</v>
      </c>
    </row>
    <row r="36">
      <c r="A36" t="inlineStr">
        <is>
          <t>4300000007</t>
        </is>
      </c>
      <c r="B36" t="inlineStr">
        <is>
          <t>ASESORÍA MIRALLES</t>
        </is>
      </c>
      <c r="C36" t="n">
        <v>11520.69</v>
      </c>
      <c r="D36" t="n">
        <v>49320.48</v>
      </c>
      <c r="E36" t="n">
        <v>25946.96</v>
      </c>
      <c r="F36" t="n">
        <v>34894.21</v>
      </c>
    </row>
    <row r="37">
      <c r="A37" t="inlineStr">
        <is>
          <t>4300000008</t>
        </is>
      </c>
      <c r="B37" t="inlineStr">
        <is>
          <t>FRUTAS CARIÑENA S.L.</t>
        </is>
      </c>
      <c r="C37" t="n">
        <v>-3539.48</v>
      </c>
      <c r="D37" t="n">
        <v>28407.84</v>
      </c>
      <c r="E37" t="n">
        <v>22362.86</v>
      </c>
      <c r="F37" t="n">
        <v>2505.5</v>
      </c>
    </row>
    <row r="38">
      <c r="A38" t="inlineStr">
        <is>
          <t>4300000009</t>
        </is>
      </c>
      <c r="B38" t="inlineStr">
        <is>
          <t>ARNAU TORRES DKAIDEK</t>
        </is>
      </c>
      <c r="C38" t="n">
        <v>13430.38</v>
      </c>
      <c r="D38" t="n">
        <v>11581.57</v>
      </c>
      <c r="E38" t="n">
        <v>21854.93</v>
      </c>
      <c r="F38" t="n">
        <v>3157.02</v>
      </c>
    </row>
    <row r="39">
      <c r="A39" t="inlineStr">
        <is>
          <t>4300000010</t>
        </is>
      </c>
      <c r="B39" t="inlineStr">
        <is>
          <t>NATALIA POLO CHOCANO</t>
        </is>
      </c>
      <c r="C39" t="n">
        <v>12991.37</v>
      </c>
      <c r="D39" t="n">
        <v>1816.92</v>
      </c>
      <c r="E39" t="n">
        <v>24648.11</v>
      </c>
      <c r="F39" t="n">
        <v>-9839.82</v>
      </c>
    </row>
    <row r="40">
      <c r="A40" t="inlineStr">
        <is>
          <t>4300000011</t>
        </is>
      </c>
      <c r="B40" t="inlineStr">
        <is>
          <t>ADRIANA HUERTAS</t>
        </is>
      </c>
      <c r="C40" t="n">
        <v>11330.58</v>
      </c>
      <c r="D40" t="n">
        <v>46000.08</v>
      </c>
      <c r="E40" t="n">
        <v>2438.97</v>
      </c>
      <c r="F40" t="n">
        <v>54891.69</v>
      </c>
    </row>
    <row r="41">
      <c r="A41" t="inlineStr">
        <is>
          <t>4300000012</t>
        </is>
      </c>
      <c r="B41" t="inlineStr">
        <is>
          <t>HORTENSIA HERRERO</t>
        </is>
      </c>
      <c r="C41" t="n">
        <v>-3820.34</v>
      </c>
      <c r="D41" t="n">
        <v>3754.8</v>
      </c>
      <c r="E41" t="n">
        <v>55204.6</v>
      </c>
      <c r="F41" t="n">
        <v>-55270.14</v>
      </c>
    </row>
    <row r="42">
      <c r="A42" t="inlineStr">
        <is>
          <t>4300000013</t>
        </is>
      </c>
      <c r="B42" t="inlineStr">
        <is>
          <t>FUNDACIÓN ARTE HORTENSIA HERRERO</t>
        </is>
      </c>
      <c r="C42" t="n">
        <v>511.81</v>
      </c>
      <c r="D42" t="n">
        <v>44837.21</v>
      </c>
      <c r="E42" t="n">
        <v>53913.11</v>
      </c>
      <c r="F42" t="n">
        <v>-8564.09</v>
      </c>
    </row>
    <row r="43">
      <c r="A43" t="inlineStr">
        <is>
          <t>4300000014</t>
        </is>
      </c>
      <c r="B43" t="inlineStr">
        <is>
          <t>TALLERES MONTANER</t>
        </is>
      </c>
      <c r="C43" t="n">
        <v>2111.86</v>
      </c>
      <c r="D43" t="n">
        <v>16338.88</v>
      </c>
      <c r="E43" t="n">
        <v>57461.38</v>
      </c>
      <c r="F43" t="n">
        <v>-39010.64</v>
      </c>
    </row>
    <row r="44">
      <c r="A44" t="inlineStr">
        <is>
          <t>4300000015</t>
        </is>
      </c>
      <c r="B44" t="inlineStr">
        <is>
          <t>BENLLOCH Y ASOCIADOS</t>
        </is>
      </c>
      <c r="C44" t="n">
        <v>7531.08</v>
      </c>
      <c r="D44" t="n">
        <v>15730.35</v>
      </c>
      <c r="E44" t="n">
        <v>42998.14</v>
      </c>
      <c r="F44" t="n">
        <v>-19736.71</v>
      </c>
    </row>
    <row r="45">
      <c r="A45" t="inlineStr">
        <is>
          <t>4300000016</t>
        </is>
      </c>
      <c r="B45" t="inlineStr">
        <is>
          <t>MODICA E HIJOS S.L.</t>
        </is>
      </c>
      <c r="C45" t="n">
        <v>1671.43</v>
      </c>
      <c r="D45" t="n">
        <v>16537.82</v>
      </c>
      <c r="E45" t="n">
        <v>226.3</v>
      </c>
      <c r="F45" t="n">
        <v>17982.95</v>
      </c>
    </row>
    <row r="46">
      <c r="A46" t="inlineStr">
        <is>
          <t>4300000017</t>
        </is>
      </c>
      <c r="B46" t="inlineStr">
        <is>
          <t>ASENSI CONSULTORES</t>
        </is>
      </c>
      <c r="C46" t="n">
        <v>10235.22</v>
      </c>
      <c r="D46" t="n">
        <v>54987.58</v>
      </c>
      <c r="E46" t="n">
        <v>38038.8</v>
      </c>
      <c r="F46" t="n">
        <v>27184</v>
      </c>
    </row>
    <row r="47">
      <c r="A47" t="inlineStr">
        <is>
          <t>4300000018</t>
        </is>
      </c>
      <c r="B47" t="inlineStr">
        <is>
          <t>RIERA INVERSIONES SL</t>
        </is>
      </c>
      <c r="C47" t="n">
        <v>13893.38</v>
      </c>
      <c r="D47" t="n">
        <v>1455.4</v>
      </c>
      <c r="E47" t="n">
        <v>14031.98</v>
      </c>
      <c r="F47" t="n">
        <v>1316.8</v>
      </c>
    </row>
    <row r="48">
      <c r="A48" t="inlineStr">
        <is>
          <t>4300000019</t>
        </is>
      </c>
      <c r="B48" t="inlineStr">
        <is>
          <t>BELLO LOGÍSTICA</t>
        </is>
      </c>
      <c r="C48" t="n">
        <v>4766.19</v>
      </c>
      <c r="D48" t="n">
        <v>57406.66</v>
      </c>
      <c r="E48" t="n">
        <v>57234.63</v>
      </c>
      <c r="F48" t="n">
        <v>4938.22</v>
      </c>
    </row>
    <row r="49">
      <c r="A49" t="inlineStr">
        <is>
          <t>4300000020</t>
        </is>
      </c>
      <c r="B49" t="inlineStr">
        <is>
          <t>VALCARCEL HERMANOS</t>
        </is>
      </c>
      <c r="C49" t="n">
        <v>3037.04</v>
      </c>
      <c r="D49" t="n">
        <v>15062.81</v>
      </c>
      <c r="E49" t="n">
        <v>25796.29</v>
      </c>
      <c r="F49" t="n">
        <v>-7696.44</v>
      </c>
    </row>
    <row r="50">
      <c r="A50" t="inlineStr">
        <is>
          <t>4400000001</t>
        </is>
      </c>
      <c r="B50" t="inlineStr">
        <is>
          <t>PRÉSTAMOS A C/P JUAN PEDRO</t>
        </is>
      </c>
      <c r="C50" t="n">
        <v>5122.74</v>
      </c>
      <c r="D50" t="n">
        <v>55685.97</v>
      </c>
      <c r="E50" t="n">
        <v>10976.35</v>
      </c>
      <c r="F50" t="n">
        <v>49832.36</v>
      </c>
    </row>
    <row r="51">
      <c r="A51" t="inlineStr">
        <is>
          <t>4400000002</t>
        </is>
      </c>
      <c r="B51" t="inlineStr">
        <is>
          <t>CRÉDITOS A C/P MIGUEL CAMACHO</t>
        </is>
      </c>
      <c r="C51" t="n">
        <v>11150.08</v>
      </c>
      <c r="D51" t="n">
        <v>44309.28</v>
      </c>
      <c r="E51" t="n">
        <v>49365.32</v>
      </c>
      <c r="F51" t="n">
        <v>6094.04</v>
      </c>
    </row>
    <row r="52">
      <c r="A52" t="inlineStr">
        <is>
          <t>4400000003</t>
        </is>
      </c>
      <c r="B52" t="inlineStr">
        <is>
          <t>ANTICIPO LAURA GURREA</t>
        </is>
      </c>
      <c r="C52" t="n">
        <v>10569.78</v>
      </c>
      <c r="D52" t="n">
        <v>36435.25</v>
      </c>
      <c r="E52" t="n">
        <v>19667.99</v>
      </c>
      <c r="F52" t="n">
        <v>27337.04</v>
      </c>
    </row>
    <row r="53">
      <c r="A53" t="inlineStr">
        <is>
          <t>4400000004</t>
        </is>
      </c>
      <c r="B53" t="inlineStr">
        <is>
          <t>ANTICIPO BEATRIZ HERGUETA</t>
        </is>
      </c>
      <c r="C53" t="n">
        <v>1731.2</v>
      </c>
      <c r="D53" t="n">
        <v>21711.51</v>
      </c>
      <c r="E53" t="n">
        <v>46934.92</v>
      </c>
      <c r="F53" t="n">
        <v>-23492.21</v>
      </c>
    </row>
    <row r="54">
      <c r="A54" t="inlineStr">
        <is>
          <t>4400000005</t>
        </is>
      </c>
      <c r="B54" t="inlineStr">
        <is>
          <t>ANTICIPO CAROLINA LLARIO</t>
        </is>
      </c>
      <c r="C54" t="n">
        <v>-2959.21</v>
      </c>
      <c r="D54" t="n">
        <v>11838.71</v>
      </c>
      <c r="E54" t="n">
        <v>45173.14</v>
      </c>
      <c r="F54" t="n">
        <v>-36293.64</v>
      </c>
    </row>
    <row r="55">
      <c r="A55" t="inlineStr">
        <is>
          <t>4400000006</t>
        </is>
      </c>
      <c r="B55" t="inlineStr">
        <is>
          <t>ANTICIPO CLARA SANTAMARIA</t>
        </is>
      </c>
      <c r="C55" t="n">
        <v>322.5</v>
      </c>
      <c r="D55" t="n">
        <v>3883.98</v>
      </c>
      <c r="E55" t="n">
        <v>2031.82</v>
      </c>
      <c r="F55" t="n">
        <v>2174.66</v>
      </c>
    </row>
    <row r="56">
      <c r="A56" t="inlineStr">
        <is>
          <t>4100000001</t>
        </is>
      </c>
      <c r="B56" t="inlineStr">
        <is>
          <t>DISTRIBUCIONES CHUST S.L.</t>
        </is>
      </c>
      <c r="C56" t="n">
        <v>6275.6</v>
      </c>
      <c r="D56" t="n">
        <v>19545.5</v>
      </c>
      <c r="E56" t="n">
        <v>58815.35</v>
      </c>
      <c r="F56" t="n">
        <v>-32994.25</v>
      </c>
    </row>
    <row r="57">
      <c r="A57" t="inlineStr">
        <is>
          <t>4100000002</t>
        </is>
      </c>
      <c r="B57" t="inlineStr">
        <is>
          <t>MAYORISTAS LAMATA</t>
        </is>
      </c>
      <c r="C57" t="n">
        <v>12727.76</v>
      </c>
      <c r="D57" t="n">
        <v>59269.43</v>
      </c>
      <c r="E57" t="n">
        <v>15893.48</v>
      </c>
      <c r="F57" t="n">
        <v>56103.71</v>
      </c>
    </row>
    <row r="58">
      <c r="A58" t="inlineStr">
        <is>
          <t>4100000003</t>
        </is>
      </c>
      <c r="B58" t="inlineStr">
        <is>
          <t>TR LOGÍSTICA Y TRANSPORTES JUAN LARA SL</t>
        </is>
      </c>
      <c r="C58" t="n">
        <v>-2860.39</v>
      </c>
      <c r="D58" t="n">
        <v>5785.35</v>
      </c>
      <c r="E58" t="n">
        <v>29908.52</v>
      </c>
      <c r="F58" t="n">
        <v>-26983.56</v>
      </c>
    </row>
    <row r="59">
      <c r="A59" t="inlineStr">
        <is>
          <t>4100000004</t>
        </is>
      </c>
      <c r="B59" t="inlineStr">
        <is>
          <t>PUBLICIDAD ALBA EVENTOS</t>
        </is>
      </c>
      <c r="C59" t="n">
        <v>9340.540000000001</v>
      </c>
      <c r="D59" t="n">
        <v>26817.79</v>
      </c>
      <c r="E59" t="n">
        <v>14051.78</v>
      </c>
      <c r="F59" t="n">
        <v>22106.55</v>
      </c>
    </row>
    <row r="60">
      <c r="A60" t="inlineStr">
        <is>
          <t>99000</t>
        </is>
      </c>
      <c r="B60" t="inlineStr">
        <is>
          <t>FÓRMULA EXTERNA 0</t>
        </is>
      </c>
      <c r="C60">
        <f>SUMIFS('Mayo 25'!$E:$E,'Mayo 25'!$A:$A,A10)</f>
        <v/>
      </c>
      <c r="D60">
        <f>+AB10+BK10</f>
        <v/>
      </c>
      <c r="E60">
        <f>SUMIFS('Septiembre 25'!$F:$F,'Septiembre 25'!$A:$A,A20)</f>
        <v/>
      </c>
      <c r="F60">
        <f>H10+AQ10-SUMIFS('Octubre 25'!$F:$F,'Octubre 25'!$A:$A,A10)</f>
        <v/>
      </c>
    </row>
    <row r="61">
      <c r="A61" t="inlineStr">
        <is>
          <t>99001</t>
        </is>
      </c>
      <c r="B61" t="inlineStr">
        <is>
          <t>FÓRMULA EXTERNA 1</t>
        </is>
      </c>
      <c r="C61">
        <f>SUMIFS('Mayo 25'!$E:$E,'Mayo 25'!$A:$A,A11)</f>
        <v/>
      </c>
      <c r="D61">
        <f>+AB11+BK11</f>
        <v/>
      </c>
      <c r="E61">
        <f>SUMIFS('Septiembre 25'!$F:$F,'Septiembre 25'!$A:$A,A21)</f>
        <v/>
      </c>
      <c r="F61">
        <f>H11+AQ11-SUMIFS('Octubre 25'!$F:$F,'Octubre 25'!$A:$A,A11)</f>
        <v/>
      </c>
    </row>
    <row r="62">
      <c r="A62" t="inlineStr">
        <is>
          <t>99002</t>
        </is>
      </c>
      <c r="B62" t="inlineStr">
        <is>
          <t>FÓRMULA EXTERNA 2</t>
        </is>
      </c>
      <c r="C62">
        <f>SUMIFS('Mayo 25'!$E:$E,'Mayo 25'!$A:$A,A12)</f>
        <v/>
      </c>
      <c r="D62">
        <f>+AB12+BK12</f>
        <v/>
      </c>
      <c r="E62">
        <f>SUMIFS('Septiembre 25'!$F:$F,'Septiembre 25'!$A:$A,A22)</f>
        <v/>
      </c>
      <c r="F62">
        <f>H12+AQ12-SUMIFS('Octubre 25'!$F:$F,'Octubre 25'!$A:$A,A12)</f>
        <v/>
      </c>
    </row>
    <row r="63">
      <c r="A63" t="inlineStr">
        <is>
          <t>99003</t>
        </is>
      </c>
      <c r="B63" t="inlineStr">
        <is>
          <t>FÓRMULA EXTERNA 3</t>
        </is>
      </c>
      <c r="C63">
        <f>SUMIFS('Mayo 25'!$E:$E,'Mayo 25'!$A:$A,A13)</f>
        <v/>
      </c>
      <c r="D63">
        <f>+AB13+BK13</f>
        <v/>
      </c>
      <c r="E63">
        <f>SUMIFS('Septiembre 25'!$F:$F,'Septiembre 25'!$A:$A,A23)</f>
        <v/>
      </c>
      <c r="F63">
        <f>H13+AQ13-SUMIFS('Octubre 25'!$F:$F,'Octubre 25'!$A:$A,A13)</f>
        <v/>
      </c>
    </row>
    <row r="64">
      <c r="A64" t="inlineStr">
        <is>
          <t>99004</t>
        </is>
      </c>
      <c r="B64" t="inlineStr">
        <is>
          <t>FÓRMULA EXTERNA 4</t>
        </is>
      </c>
      <c r="C64">
        <f>SUMIFS('Mayo 25'!$E:$E,'Mayo 25'!$A:$A,A14)</f>
        <v/>
      </c>
      <c r="D64">
        <f>+AB14+BK14</f>
        <v/>
      </c>
      <c r="E64">
        <f>SUMIFS('Septiembre 25'!$F:$F,'Septiembre 25'!$A:$A,A24)</f>
        <v/>
      </c>
      <c r="F64">
        <f>H14+AQ14-SUMIFS('Octubre 25'!$F:$F,'Octubre 25'!$A:$A,A14)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Aromas y Sabores del Mediterráneo S.L.</t>
        </is>
      </c>
    </row>
    <row r="2">
      <c r="A2" t="inlineStr">
        <is>
          <t>Sumas y Saldos AGREGADO 2024-2025</t>
        </is>
      </c>
    </row>
    <row r="4">
      <c r="A4" t="inlineStr">
        <is>
          <t>Subcuenta</t>
        </is>
      </c>
      <c r="B4" t="inlineStr">
        <is>
          <t>Concepto</t>
        </is>
      </c>
      <c r="C4" t="inlineStr">
        <is>
          <t>Total Debe</t>
        </is>
      </c>
      <c r="D4" t="inlineStr">
        <is>
          <t>Total Haber</t>
        </is>
      </c>
      <c r="E4" t="inlineStr">
        <is>
          <t>Saldo Final</t>
        </is>
      </c>
    </row>
    <row r="5">
      <c r="A5" t="inlineStr">
        <is>
          <t>100</t>
        </is>
      </c>
      <c r="B5" t="inlineStr">
        <is>
          <t>Capital social</t>
        </is>
      </c>
      <c r="C5">
        <f>SUMIFS('Mayo 25'!$D:$D,'Mayo 25'!$A:$A,A5)</f>
        <v/>
      </c>
      <c r="D5">
        <f>SUMIFS('Mayo 25'!$E:$E,'Mayo 25'!$A:$A,A5)</f>
        <v/>
      </c>
      <c r="E5">
        <f>+C5-D5</f>
        <v/>
      </c>
    </row>
    <row r="6">
      <c r="A6" t="inlineStr">
        <is>
          <t>129</t>
        </is>
      </c>
      <c r="B6" t="inlineStr">
        <is>
          <t>Resultado del ejercicio</t>
        </is>
      </c>
      <c r="C6">
        <f>SUMIFS('Mayo 25'!$D:$D,'Mayo 25'!$A:$A,A5)</f>
        <v/>
      </c>
      <c r="D6">
        <f>SUMIFS('Mayo 25'!$E:$E,'Mayo 25'!$A:$A,A5)</f>
        <v/>
      </c>
      <c r="E6">
        <f>+C5-D5</f>
        <v/>
      </c>
    </row>
    <row r="7">
      <c r="A7" t="inlineStr">
        <is>
          <t>281</t>
        </is>
      </c>
      <c r="B7" t="inlineStr">
        <is>
          <t>Amortización acumulada del inmovilizado material</t>
        </is>
      </c>
      <c r="C7">
        <f>SUMIFS('Mayo 25'!$D:$D,'Mayo 25'!$A:$A,A5)</f>
        <v/>
      </c>
      <c r="D7">
        <f>SUMIFS('Mayo 25'!$E:$E,'Mayo 25'!$A:$A,A5)</f>
        <v/>
      </c>
      <c r="E7">
        <f>+C5-D5</f>
        <v/>
      </c>
    </row>
    <row r="8">
      <c r="A8" t="inlineStr">
        <is>
          <t>4720</t>
        </is>
      </c>
      <c r="B8" t="inlineStr">
        <is>
          <t>H.P. IVA SOPORTADO</t>
        </is>
      </c>
      <c r="C8">
        <f>SUMIFS('Mayo 25'!$D:$D,'Mayo 25'!$A:$A,A5)</f>
        <v/>
      </c>
      <c r="D8">
        <f>SUMIFS('Mayo 25'!$E:$E,'Mayo 25'!$A:$A,A5)</f>
        <v/>
      </c>
      <c r="E8">
        <f>+C5-D5</f>
        <v/>
      </c>
    </row>
    <row r="9">
      <c r="A9" t="inlineStr">
        <is>
          <t>4770</t>
        </is>
      </c>
      <c r="B9" t="inlineStr">
        <is>
          <t>H.P. IVA REPERCUTIDO</t>
        </is>
      </c>
      <c r="C9">
        <f>SUMIFS('Mayo 25'!$D:$D,'Mayo 25'!$A:$A,A5)</f>
        <v/>
      </c>
      <c r="D9">
        <f>SUMIFS('Mayo 25'!$E:$E,'Mayo 25'!$A:$A,A5)</f>
        <v/>
      </c>
      <c r="E9">
        <f>+C5-D5</f>
        <v/>
      </c>
    </row>
    <row r="10">
      <c r="A10" t="inlineStr">
        <is>
          <t>4751</t>
        </is>
      </c>
      <c r="B10" t="inlineStr">
        <is>
          <t>H.P. Acreedora por IS</t>
        </is>
      </c>
      <c r="C10">
        <f>SUMIFS('Mayo 25'!$D:$D,'Mayo 25'!$A:$A,A5)</f>
        <v/>
      </c>
      <c r="D10">
        <f>SUMIFS('Mayo 25'!$E:$E,'Mayo 25'!$A:$A,A5)</f>
        <v/>
      </c>
      <c r="E10">
        <f>+C5-D5</f>
        <v/>
      </c>
    </row>
    <row r="11">
      <c r="A11" t="inlineStr">
        <is>
          <t>4752</t>
        </is>
      </c>
      <c r="B11" t="inlineStr">
        <is>
          <t>H.P. Acreedora por IRPF</t>
        </is>
      </c>
      <c r="C11">
        <f>SUMIFS('Mayo 25'!$D:$D,'Mayo 25'!$A:$A,A5)</f>
        <v/>
      </c>
      <c r="D11">
        <f>SUMIFS('Mayo 25'!$E:$E,'Mayo 25'!$A:$A,A5)</f>
        <v/>
      </c>
      <c r="E11">
        <f>+C5-D5</f>
        <v/>
      </c>
    </row>
    <row r="12">
      <c r="A12" t="inlineStr">
        <is>
          <t>4760</t>
        </is>
      </c>
      <c r="B12" t="inlineStr">
        <is>
          <t>Organismos de la Seguridad Social acreedores</t>
        </is>
      </c>
      <c r="C12">
        <f>SUMIFS('Mayo 25'!$D:$D,'Mayo 25'!$A:$A,A5)</f>
        <v/>
      </c>
      <c r="D12">
        <f>SUMIFS('Mayo 25'!$E:$E,'Mayo 25'!$A:$A,A5)</f>
        <v/>
      </c>
      <c r="E12">
        <f>+C5-D5</f>
        <v/>
      </c>
    </row>
    <row r="13">
      <c r="A13" t="inlineStr">
        <is>
          <t>570</t>
        </is>
      </c>
      <c r="B13" t="inlineStr">
        <is>
          <t>Caja, euros</t>
        </is>
      </c>
      <c r="C13">
        <f>SUMIFS('Mayo 25'!$D:$D,'Mayo 25'!$A:$A,A5)</f>
        <v/>
      </c>
      <c r="D13">
        <f>SUMIFS('Mayo 25'!$E:$E,'Mayo 25'!$A:$A,A5)</f>
        <v/>
      </c>
      <c r="E13">
        <f>+C5-D5</f>
        <v/>
      </c>
    </row>
    <row r="14">
      <c r="A14" t="inlineStr">
        <is>
          <t>572</t>
        </is>
      </c>
      <c r="B14" t="inlineStr">
        <is>
          <t>Bancos e instituciones de crédito c/c vista, euros</t>
        </is>
      </c>
      <c r="C14">
        <f>SUMIFS('Mayo 25'!$D:$D,'Mayo 25'!$A:$A,A5)</f>
        <v/>
      </c>
      <c r="D14">
        <f>SUMIFS('Mayo 25'!$E:$E,'Mayo 25'!$A:$A,A5)</f>
        <v/>
      </c>
      <c r="E14">
        <f>+C5-D5</f>
        <v/>
      </c>
    </row>
    <row r="15">
      <c r="A15" t="inlineStr">
        <is>
          <t>600</t>
        </is>
      </c>
      <c r="B15" t="inlineStr">
        <is>
          <t>Compras de mercaderías</t>
        </is>
      </c>
      <c r="C15">
        <f>SUMIFS('Mayo 25'!$D:$D,'Mayo 25'!$A:$A,A5)</f>
        <v/>
      </c>
      <c r="D15">
        <f>SUMIFS('Mayo 25'!$E:$E,'Mayo 25'!$A:$A,A5)</f>
        <v/>
      </c>
      <c r="E15">
        <f>+C5-D5</f>
        <v/>
      </c>
    </row>
    <row r="16">
      <c r="A16" t="inlineStr">
        <is>
          <t>621</t>
        </is>
      </c>
      <c r="B16" t="inlineStr">
        <is>
          <t>Arrendamientos y cánones</t>
        </is>
      </c>
      <c r="C16">
        <f>SUMIFS('Mayo 25'!$D:$D,'Mayo 25'!$A:$A,A5)</f>
        <v/>
      </c>
      <c r="D16">
        <f>SUMIFS('Mayo 25'!$E:$E,'Mayo 25'!$A:$A,A5)</f>
        <v/>
      </c>
      <c r="E16">
        <f>+C5-D5</f>
        <v/>
      </c>
    </row>
    <row r="17">
      <c r="A17" t="inlineStr">
        <is>
          <t>622</t>
        </is>
      </c>
      <c r="B17" t="inlineStr">
        <is>
          <t>Reparaciones y conservación</t>
        </is>
      </c>
      <c r="C17">
        <f>SUMIFS('Mayo 25'!$D:$D,'Mayo 25'!$A:$A,A5)</f>
        <v/>
      </c>
      <c r="D17">
        <f>SUMIFS('Mayo 25'!$E:$E,'Mayo 25'!$A:$A,A5)</f>
        <v/>
      </c>
      <c r="E17">
        <f>+C5-D5</f>
        <v/>
      </c>
    </row>
    <row r="18">
      <c r="A18" t="inlineStr">
        <is>
          <t>623</t>
        </is>
      </c>
      <c r="B18" t="inlineStr">
        <is>
          <t>Servicios de profesionales independientes</t>
        </is>
      </c>
      <c r="C18">
        <f>SUMIFS('Mayo 25'!$D:$D,'Mayo 25'!$A:$A,A5)</f>
        <v/>
      </c>
      <c r="D18">
        <f>SUMIFS('Mayo 25'!$E:$E,'Mayo 25'!$A:$A,A5)</f>
        <v/>
      </c>
      <c r="E18">
        <f>+C5-D5</f>
        <v/>
      </c>
    </row>
    <row r="19">
      <c r="A19" t="inlineStr">
        <is>
          <t>624</t>
        </is>
      </c>
      <c r="B19" t="inlineStr">
        <is>
          <t>Transportes</t>
        </is>
      </c>
      <c r="C19">
        <f>SUMIFS('Mayo 25'!$D:$D,'Mayo 25'!$A:$A,A5)</f>
        <v/>
      </c>
      <c r="D19">
        <f>SUMIFS('Mayo 25'!$E:$E,'Mayo 25'!$A:$A,A5)</f>
        <v/>
      </c>
      <c r="E19">
        <f>+C5-D5</f>
        <v/>
      </c>
    </row>
    <row r="20">
      <c r="A20" t="inlineStr">
        <is>
          <t>625</t>
        </is>
      </c>
      <c r="B20" t="inlineStr">
        <is>
          <t>Primas de seguros</t>
        </is>
      </c>
      <c r="C20">
        <f>SUMIFS('Mayo 25'!$D:$D,'Mayo 25'!$A:$A,A5)</f>
        <v/>
      </c>
      <c r="D20">
        <f>SUMIFS('Mayo 25'!$E:$E,'Mayo 25'!$A:$A,A5)</f>
        <v/>
      </c>
      <c r="E20">
        <f>+C5-D5</f>
        <v/>
      </c>
    </row>
    <row r="21">
      <c r="A21" t="inlineStr">
        <is>
          <t>627</t>
        </is>
      </c>
      <c r="B21" t="inlineStr">
        <is>
          <t>Publicidad, propaganda y RRPP</t>
        </is>
      </c>
      <c r="C21">
        <f>SUMIFS('Mayo 25'!$D:$D,'Mayo 25'!$A:$A,A5)</f>
        <v/>
      </c>
      <c r="D21">
        <f>SUMIFS('Mayo 25'!$E:$E,'Mayo 25'!$A:$A,A5)</f>
        <v/>
      </c>
      <c r="E21">
        <f>+C5-D5</f>
        <v/>
      </c>
    </row>
    <row r="22">
      <c r="A22" t="inlineStr">
        <is>
          <t>628</t>
        </is>
      </c>
      <c r="B22" t="inlineStr">
        <is>
          <t>Suministros</t>
        </is>
      </c>
      <c r="C22">
        <f>SUMIFS('Mayo 25'!$D:$D,'Mayo 25'!$A:$A,A5)</f>
        <v/>
      </c>
      <c r="D22">
        <f>SUMIFS('Mayo 25'!$E:$E,'Mayo 25'!$A:$A,A5)</f>
        <v/>
      </c>
      <c r="E22">
        <f>+C5-D5</f>
        <v/>
      </c>
    </row>
    <row r="23">
      <c r="A23" t="inlineStr">
        <is>
          <t>629</t>
        </is>
      </c>
      <c r="B23" t="inlineStr">
        <is>
          <t>Otros servicios</t>
        </is>
      </c>
      <c r="C23">
        <f>SUMIFS('Mayo 25'!$D:$D,'Mayo 25'!$A:$A,A5)</f>
        <v/>
      </c>
      <c r="D23">
        <f>SUMIFS('Mayo 25'!$E:$E,'Mayo 25'!$A:$A,A5)</f>
        <v/>
      </c>
      <c r="E23">
        <f>+C5-D5</f>
        <v/>
      </c>
    </row>
    <row r="24">
      <c r="A24" t="inlineStr">
        <is>
          <t>630</t>
        </is>
      </c>
      <c r="B24" t="inlineStr">
        <is>
          <t>Impuesto sobre beneficios</t>
        </is>
      </c>
      <c r="C24">
        <f>SUMIFS('Mayo 25'!$D:$D,'Mayo 25'!$A:$A,A5)</f>
        <v/>
      </c>
      <c r="D24">
        <f>SUMIFS('Mayo 25'!$E:$E,'Mayo 25'!$A:$A,A5)</f>
        <v/>
      </c>
      <c r="E24">
        <f>+C5-D5</f>
        <v/>
      </c>
    </row>
    <row r="25">
      <c r="A25" t="inlineStr">
        <is>
          <t>631</t>
        </is>
      </c>
      <c r="B25" t="inlineStr">
        <is>
          <t>Otros tributos</t>
        </is>
      </c>
      <c r="C25">
        <f>SUMIFS('Mayo 25'!$D:$D,'Mayo 25'!$A:$A,A5)</f>
        <v/>
      </c>
      <c r="D25">
        <f>SUMIFS('Mayo 25'!$E:$E,'Mayo 25'!$A:$A,A5)</f>
        <v/>
      </c>
      <c r="E25">
        <f>+C5-D5</f>
        <v/>
      </c>
    </row>
    <row r="26">
      <c r="A26" t="inlineStr">
        <is>
          <t>640</t>
        </is>
      </c>
      <c r="B26" t="inlineStr">
        <is>
          <t>Sueldos y salarios</t>
        </is>
      </c>
      <c r="C26">
        <f>SUMIFS('Mayo 25'!$D:$D,'Mayo 25'!$A:$A,A5)</f>
        <v/>
      </c>
      <c r="D26">
        <f>SUMIFS('Mayo 25'!$E:$E,'Mayo 25'!$A:$A,A5)</f>
        <v/>
      </c>
      <c r="E26">
        <f>+C5-D5</f>
        <v/>
      </c>
    </row>
    <row r="27">
      <c r="A27" t="inlineStr">
        <is>
          <t>642</t>
        </is>
      </c>
      <c r="B27" t="inlineStr">
        <is>
          <t>Seguridad Social a cargo de la empresa</t>
        </is>
      </c>
      <c r="C27">
        <f>SUMIFS('Mayo 25'!$D:$D,'Mayo 25'!$A:$A,A5)</f>
        <v/>
      </c>
      <c r="D27">
        <f>SUMIFS('Mayo 25'!$E:$E,'Mayo 25'!$A:$A,A5)</f>
        <v/>
      </c>
      <c r="E27">
        <f>+C5-D5</f>
        <v/>
      </c>
    </row>
    <row r="28">
      <c r="A28" t="inlineStr">
        <is>
          <t>700</t>
        </is>
      </c>
      <c r="B28" t="inlineStr">
        <is>
          <t>Ventas de mercaderías</t>
        </is>
      </c>
      <c r="C28">
        <f>SUMIFS('Mayo 25'!$D:$D,'Mayo 25'!$A:$A,A5)</f>
        <v/>
      </c>
      <c r="D28">
        <f>SUMIFS('Mayo 25'!$E:$E,'Mayo 25'!$A:$A,A5)</f>
        <v/>
      </c>
      <c r="E28">
        <f>+C5-D5</f>
        <v/>
      </c>
    </row>
    <row r="29">
      <c r="A29" t="inlineStr">
        <is>
          <t>705</t>
        </is>
      </c>
      <c r="B29" t="inlineStr">
        <is>
          <t>Prestaciones de servicios</t>
        </is>
      </c>
      <c r="C29">
        <f>SUMIFS('Mayo 25'!$D:$D,'Mayo 25'!$A:$A,A5)</f>
        <v/>
      </c>
      <c r="D29">
        <f>SUMIFS('Mayo 25'!$E:$E,'Mayo 25'!$A:$A,A5)</f>
        <v/>
      </c>
      <c r="E29">
        <f>+C5-D5</f>
        <v/>
      </c>
    </row>
    <row r="30">
      <c r="A30" t="inlineStr">
        <is>
          <t>4300000001</t>
        </is>
      </c>
      <c r="B30" t="inlineStr">
        <is>
          <t>BANCO SABADELL, S.A.</t>
        </is>
      </c>
      <c r="C30">
        <f>SUMIFS('Mayo 25'!$D:$D,'Mayo 25'!$A:$A,A5)</f>
        <v/>
      </c>
      <c r="D30">
        <f>SUMIFS('Mayo 25'!$E:$E,'Mayo 25'!$A:$A,A5)</f>
        <v/>
      </c>
      <c r="E30">
        <f>+C5-D5</f>
        <v/>
      </c>
    </row>
    <row r="31">
      <c r="A31" t="inlineStr">
        <is>
          <t>4300000002</t>
        </is>
      </c>
      <c r="B31" t="inlineStr">
        <is>
          <t>CAIXABANK, SA</t>
        </is>
      </c>
      <c r="C31">
        <f>SUMIFS('Mayo 25'!$D:$D,'Mayo 25'!$A:$A,A5)</f>
        <v/>
      </c>
      <c r="D31">
        <f>SUMIFS('Mayo 25'!$E:$E,'Mayo 25'!$A:$A,A5)</f>
        <v/>
      </c>
      <c r="E31">
        <f>+C5-D5</f>
        <v/>
      </c>
    </row>
    <row r="32">
      <c r="A32" t="inlineStr">
        <is>
          <t>4300000003</t>
        </is>
      </c>
      <c r="B32" t="inlineStr">
        <is>
          <t>PREVENPYME, SL</t>
        </is>
      </c>
      <c r="C32">
        <f>SUMIFS('Mayo 25'!$D:$D,'Mayo 25'!$A:$A,A5)</f>
        <v/>
      </c>
      <c r="D32">
        <f>SUMIFS('Mayo 25'!$E:$E,'Mayo 25'!$A:$A,A5)</f>
        <v/>
      </c>
      <c r="E32">
        <f>+C5-D5</f>
        <v/>
      </c>
    </row>
    <row r="33">
      <c r="A33" t="inlineStr">
        <is>
          <t>4300000004</t>
        </is>
      </c>
      <c r="B33" t="inlineStr">
        <is>
          <t>EVENTOS MEDITERRÁNEOS, SL</t>
        </is>
      </c>
      <c r="C33">
        <f>SUMIFS('Mayo 25'!$D:$D,'Mayo 25'!$A:$A,A5)</f>
        <v/>
      </c>
      <c r="D33">
        <f>SUMIFS('Mayo 25'!$E:$E,'Mayo 25'!$A:$A,A5)</f>
        <v/>
      </c>
      <c r="E33">
        <f>+C5-D5</f>
        <v/>
      </c>
    </row>
    <row r="34">
      <c r="A34" t="inlineStr">
        <is>
          <t>4300000005</t>
        </is>
      </c>
      <c r="B34" t="inlineStr">
        <is>
          <t>DISTRIBUCIONES BADIA</t>
        </is>
      </c>
      <c r="C34">
        <f>SUMIFS('Mayo 25'!$D:$D,'Mayo 25'!$A:$A,A5)</f>
        <v/>
      </c>
      <c r="D34">
        <f>SUMIFS('Mayo 25'!$E:$E,'Mayo 25'!$A:$A,A5)</f>
        <v/>
      </c>
      <c r="E34">
        <f>+C5-D5</f>
        <v/>
      </c>
    </row>
    <row r="35">
      <c r="A35" t="inlineStr">
        <is>
          <t>4300000006</t>
        </is>
      </c>
      <c r="B35" t="inlineStr">
        <is>
          <t>INMOBILIARIA TUSET SLU</t>
        </is>
      </c>
      <c r="C35">
        <f>SUMIFS('Mayo 25'!$D:$D,'Mayo 25'!$A:$A,A5)</f>
        <v/>
      </c>
      <c r="D35">
        <f>SUMIFS('Mayo 25'!$E:$E,'Mayo 25'!$A:$A,A5)</f>
        <v/>
      </c>
      <c r="E35">
        <f>+C5-D5</f>
        <v/>
      </c>
    </row>
    <row r="36">
      <c r="A36" t="inlineStr">
        <is>
          <t>4300000007</t>
        </is>
      </c>
      <c r="B36" t="inlineStr">
        <is>
          <t>ASESORÍA MIRALLES</t>
        </is>
      </c>
      <c r="C36">
        <f>SUMIFS('Mayo 25'!$D:$D,'Mayo 25'!$A:$A,A5)</f>
        <v/>
      </c>
      <c r="D36">
        <f>SUMIFS('Mayo 25'!$E:$E,'Mayo 25'!$A:$A,A5)</f>
        <v/>
      </c>
      <c r="E36">
        <f>+C5-D5</f>
        <v/>
      </c>
    </row>
    <row r="37">
      <c r="A37" t="inlineStr">
        <is>
          <t>4300000008</t>
        </is>
      </c>
      <c r="B37" t="inlineStr">
        <is>
          <t>FRUTAS CARIÑENA S.L.</t>
        </is>
      </c>
      <c r="C37">
        <f>SUMIFS('Mayo 25'!$D:$D,'Mayo 25'!$A:$A,A5)</f>
        <v/>
      </c>
      <c r="D37">
        <f>SUMIFS('Mayo 25'!$E:$E,'Mayo 25'!$A:$A,A5)</f>
        <v/>
      </c>
      <c r="E37">
        <f>+C5-D5</f>
        <v/>
      </c>
    </row>
    <row r="38">
      <c r="A38" t="inlineStr">
        <is>
          <t>4300000009</t>
        </is>
      </c>
      <c r="B38" t="inlineStr">
        <is>
          <t>ARNAU TORRES DKAIDEK</t>
        </is>
      </c>
      <c r="C38">
        <f>SUMIFS('Mayo 25'!$D:$D,'Mayo 25'!$A:$A,A5)</f>
        <v/>
      </c>
      <c r="D38">
        <f>SUMIFS('Mayo 25'!$E:$E,'Mayo 25'!$A:$A,A5)</f>
        <v/>
      </c>
      <c r="E38">
        <f>+C5-D5</f>
        <v/>
      </c>
    </row>
    <row r="39">
      <c r="A39" t="inlineStr">
        <is>
          <t>4300000010</t>
        </is>
      </c>
      <c r="B39" t="inlineStr">
        <is>
          <t>NATALIA POLO CHOCANO</t>
        </is>
      </c>
      <c r="C39">
        <f>SUMIFS('Mayo 25'!$D:$D,'Mayo 25'!$A:$A,A5)</f>
        <v/>
      </c>
      <c r="D39">
        <f>SUMIFS('Mayo 25'!$E:$E,'Mayo 25'!$A:$A,A5)</f>
        <v/>
      </c>
      <c r="E39">
        <f>+C5-D5</f>
        <v/>
      </c>
    </row>
    <row r="40">
      <c r="A40" t="inlineStr">
        <is>
          <t>4300000011</t>
        </is>
      </c>
      <c r="B40" t="inlineStr">
        <is>
          <t>ADRIANA HUERTAS</t>
        </is>
      </c>
      <c r="C40">
        <f>SUMIFS('Mayo 25'!$D:$D,'Mayo 25'!$A:$A,A5)</f>
        <v/>
      </c>
      <c r="D40">
        <f>SUMIFS('Mayo 25'!$E:$E,'Mayo 25'!$A:$A,A5)</f>
        <v/>
      </c>
      <c r="E40">
        <f>+C5-D5</f>
        <v/>
      </c>
    </row>
    <row r="41">
      <c r="A41" t="inlineStr">
        <is>
          <t>4300000012</t>
        </is>
      </c>
      <c r="B41" t="inlineStr">
        <is>
          <t>HORTENSIA HERRERO</t>
        </is>
      </c>
      <c r="C41">
        <f>SUMIFS('Mayo 25'!$D:$D,'Mayo 25'!$A:$A,A5)</f>
        <v/>
      </c>
      <c r="D41">
        <f>SUMIFS('Mayo 25'!$E:$E,'Mayo 25'!$A:$A,A5)</f>
        <v/>
      </c>
      <c r="E41">
        <f>+C5-D5</f>
        <v/>
      </c>
    </row>
    <row r="42">
      <c r="A42" t="inlineStr">
        <is>
          <t>4300000013</t>
        </is>
      </c>
      <c r="B42" t="inlineStr">
        <is>
          <t>FUNDACIÓN ARTE HORTENSIA HERRERO</t>
        </is>
      </c>
      <c r="C42">
        <f>SUMIFS('Mayo 25'!$D:$D,'Mayo 25'!$A:$A,A5)</f>
        <v/>
      </c>
      <c r="D42">
        <f>SUMIFS('Mayo 25'!$E:$E,'Mayo 25'!$A:$A,A5)</f>
        <v/>
      </c>
      <c r="E42">
        <f>+C5-D5</f>
        <v/>
      </c>
    </row>
    <row r="43">
      <c r="A43" t="inlineStr">
        <is>
          <t>4300000014</t>
        </is>
      </c>
      <c r="B43" t="inlineStr">
        <is>
          <t>TALLERES MONTANER</t>
        </is>
      </c>
      <c r="C43">
        <f>SUMIFS('Mayo 25'!$D:$D,'Mayo 25'!$A:$A,A5)</f>
        <v/>
      </c>
      <c r="D43">
        <f>SUMIFS('Mayo 25'!$E:$E,'Mayo 25'!$A:$A,A5)</f>
        <v/>
      </c>
      <c r="E43">
        <f>+C5-D5</f>
        <v/>
      </c>
    </row>
    <row r="44">
      <c r="A44" t="inlineStr">
        <is>
          <t>4300000015</t>
        </is>
      </c>
      <c r="B44" t="inlineStr">
        <is>
          <t>BENLLOCH Y ASOCIADOS</t>
        </is>
      </c>
      <c r="C44">
        <f>SUMIFS('Mayo 25'!$D:$D,'Mayo 25'!$A:$A,A5)</f>
        <v/>
      </c>
      <c r="D44">
        <f>SUMIFS('Mayo 25'!$E:$E,'Mayo 25'!$A:$A,A5)</f>
        <v/>
      </c>
      <c r="E44">
        <f>+C5-D5</f>
        <v/>
      </c>
    </row>
    <row r="45">
      <c r="A45" t="inlineStr">
        <is>
          <t>4300000016</t>
        </is>
      </c>
      <c r="B45" t="inlineStr">
        <is>
          <t>MODICA E HIJOS S.L.</t>
        </is>
      </c>
      <c r="C45">
        <f>SUMIFS('Mayo 25'!$D:$D,'Mayo 25'!$A:$A,A5)</f>
        <v/>
      </c>
      <c r="D45">
        <f>SUMIFS('Mayo 25'!$E:$E,'Mayo 25'!$A:$A,A5)</f>
        <v/>
      </c>
      <c r="E45">
        <f>+C5-D5</f>
        <v/>
      </c>
    </row>
    <row r="46">
      <c r="A46" t="inlineStr">
        <is>
          <t>4300000017</t>
        </is>
      </c>
      <c r="B46" t="inlineStr">
        <is>
          <t>ASENSI CONSULTORES</t>
        </is>
      </c>
      <c r="C46">
        <f>SUMIFS('Mayo 25'!$D:$D,'Mayo 25'!$A:$A,A5)</f>
        <v/>
      </c>
      <c r="D46">
        <f>SUMIFS('Mayo 25'!$E:$E,'Mayo 25'!$A:$A,A5)</f>
        <v/>
      </c>
      <c r="E46">
        <f>+C5-D5</f>
        <v/>
      </c>
    </row>
    <row r="47">
      <c r="A47" t="inlineStr">
        <is>
          <t>4300000018</t>
        </is>
      </c>
      <c r="B47" t="inlineStr">
        <is>
          <t>RIERA INVERSIONES SL</t>
        </is>
      </c>
      <c r="C47">
        <f>SUMIFS('Mayo 25'!$D:$D,'Mayo 25'!$A:$A,A5)</f>
        <v/>
      </c>
      <c r="D47">
        <f>SUMIFS('Mayo 25'!$E:$E,'Mayo 25'!$A:$A,A5)</f>
        <v/>
      </c>
      <c r="E47">
        <f>+C5-D5</f>
        <v/>
      </c>
    </row>
    <row r="48">
      <c r="A48" t="inlineStr">
        <is>
          <t>4300000019</t>
        </is>
      </c>
      <c r="B48" t="inlineStr">
        <is>
          <t>BELLO LOGÍSTICA</t>
        </is>
      </c>
      <c r="C48">
        <f>SUMIFS('Mayo 25'!$D:$D,'Mayo 25'!$A:$A,A5)</f>
        <v/>
      </c>
      <c r="D48">
        <f>SUMIFS('Mayo 25'!$E:$E,'Mayo 25'!$A:$A,A5)</f>
        <v/>
      </c>
      <c r="E48">
        <f>+C5-D5</f>
        <v/>
      </c>
    </row>
    <row r="49">
      <c r="A49" t="inlineStr">
        <is>
          <t>4300000020</t>
        </is>
      </c>
      <c r="B49" t="inlineStr">
        <is>
          <t>VALCARCEL HERMANOS</t>
        </is>
      </c>
      <c r="C49">
        <f>SUMIFS('Mayo 25'!$D:$D,'Mayo 25'!$A:$A,A5)</f>
        <v/>
      </c>
      <c r="D49">
        <f>SUMIFS('Mayo 25'!$E:$E,'Mayo 25'!$A:$A,A5)</f>
        <v/>
      </c>
      <c r="E49">
        <f>+C5-D5</f>
        <v/>
      </c>
    </row>
    <row r="50">
      <c r="A50" t="inlineStr">
        <is>
          <t>4400000001</t>
        </is>
      </c>
      <c r="B50" t="inlineStr">
        <is>
          <t>PRÉSTAMOS A C/P JUAN PEDRO</t>
        </is>
      </c>
      <c r="C50">
        <f>SUMIFS('Mayo 25'!$D:$D,'Mayo 25'!$A:$A,A5)</f>
        <v/>
      </c>
      <c r="D50">
        <f>SUMIFS('Mayo 25'!$E:$E,'Mayo 25'!$A:$A,A5)</f>
        <v/>
      </c>
      <c r="E50">
        <f>+C5-D5</f>
        <v/>
      </c>
    </row>
    <row r="51">
      <c r="A51" t="inlineStr">
        <is>
          <t>4400000002</t>
        </is>
      </c>
      <c r="B51" t="inlineStr">
        <is>
          <t>CRÉDITOS A C/P MIGUEL CAMACHO</t>
        </is>
      </c>
      <c r="C51">
        <f>SUMIFS('Mayo 25'!$D:$D,'Mayo 25'!$A:$A,A5)</f>
        <v/>
      </c>
      <c r="D51">
        <f>SUMIFS('Mayo 25'!$E:$E,'Mayo 25'!$A:$A,A5)</f>
        <v/>
      </c>
      <c r="E51">
        <f>+C5-D5</f>
        <v/>
      </c>
    </row>
    <row r="52">
      <c r="A52" t="inlineStr">
        <is>
          <t>4400000003</t>
        </is>
      </c>
      <c r="B52" t="inlineStr">
        <is>
          <t>ANTICIPO LAURA GURREA</t>
        </is>
      </c>
      <c r="C52">
        <f>SUMIFS('Mayo 25'!$D:$D,'Mayo 25'!$A:$A,A5)</f>
        <v/>
      </c>
      <c r="D52">
        <f>SUMIFS('Mayo 25'!$E:$E,'Mayo 25'!$A:$A,A5)</f>
        <v/>
      </c>
      <c r="E52">
        <f>+C5-D5</f>
        <v/>
      </c>
    </row>
    <row r="53">
      <c r="A53" t="inlineStr">
        <is>
          <t>4400000004</t>
        </is>
      </c>
      <c r="B53" t="inlineStr">
        <is>
          <t>ANTICIPO BEATRIZ HERGUETA</t>
        </is>
      </c>
      <c r="C53">
        <f>SUMIFS('Mayo 25'!$D:$D,'Mayo 25'!$A:$A,A5)</f>
        <v/>
      </c>
      <c r="D53">
        <f>SUMIFS('Mayo 25'!$E:$E,'Mayo 25'!$A:$A,A5)</f>
        <v/>
      </c>
      <c r="E53">
        <f>+C5-D5</f>
        <v/>
      </c>
    </row>
    <row r="54">
      <c r="A54" t="inlineStr">
        <is>
          <t>4400000005</t>
        </is>
      </c>
      <c r="B54" t="inlineStr">
        <is>
          <t>ANTICIPO CAROLINA LLARIO</t>
        </is>
      </c>
      <c r="C54">
        <f>SUMIFS('Mayo 25'!$D:$D,'Mayo 25'!$A:$A,A5)</f>
        <v/>
      </c>
      <c r="D54">
        <f>SUMIFS('Mayo 25'!$E:$E,'Mayo 25'!$A:$A,A5)</f>
        <v/>
      </c>
      <c r="E54">
        <f>+C5-D5</f>
        <v/>
      </c>
    </row>
    <row r="55">
      <c r="A55" t="inlineStr">
        <is>
          <t>4400000006</t>
        </is>
      </c>
      <c r="B55" t="inlineStr">
        <is>
          <t>ANTICIPO CLARA SANTAMARIA</t>
        </is>
      </c>
      <c r="C55">
        <f>SUMIFS('Mayo 25'!$D:$D,'Mayo 25'!$A:$A,A5)</f>
        <v/>
      </c>
      <c r="D55">
        <f>SUMIFS('Mayo 25'!$E:$E,'Mayo 25'!$A:$A,A5)</f>
        <v/>
      </c>
      <c r="E55">
        <f>+C5-D5</f>
        <v/>
      </c>
    </row>
    <row r="56">
      <c r="A56" t="inlineStr">
        <is>
          <t>4100000001</t>
        </is>
      </c>
      <c r="B56" t="inlineStr">
        <is>
          <t>DISTRIBUCIONES CHUST S.L.</t>
        </is>
      </c>
      <c r="C56">
        <f>SUMIFS('Mayo 25'!$D:$D,'Mayo 25'!$A:$A,A5)</f>
        <v/>
      </c>
      <c r="D56">
        <f>SUMIFS('Mayo 25'!$E:$E,'Mayo 25'!$A:$A,A5)</f>
        <v/>
      </c>
      <c r="E56">
        <f>+C5-D5</f>
        <v/>
      </c>
    </row>
    <row r="57">
      <c r="A57" t="inlineStr">
        <is>
          <t>4100000002</t>
        </is>
      </c>
      <c r="B57" t="inlineStr">
        <is>
          <t>MAYORISTAS LAMATA</t>
        </is>
      </c>
      <c r="C57">
        <f>SUMIFS('Mayo 25'!$D:$D,'Mayo 25'!$A:$A,A5)</f>
        <v/>
      </c>
      <c r="D57">
        <f>SUMIFS('Mayo 25'!$E:$E,'Mayo 25'!$A:$A,A5)</f>
        <v/>
      </c>
      <c r="E57">
        <f>+C5-D5</f>
        <v/>
      </c>
    </row>
    <row r="58">
      <c r="A58" t="inlineStr">
        <is>
          <t>4100000003</t>
        </is>
      </c>
      <c r="B58" t="inlineStr">
        <is>
          <t>TR LOGÍSTICA Y TRANSPORTES JUAN LARA SL</t>
        </is>
      </c>
      <c r="C58">
        <f>SUMIFS('Mayo 25'!$D:$D,'Mayo 25'!$A:$A,A5)</f>
        <v/>
      </c>
      <c r="D58">
        <f>SUMIFS('Mayo 25'!$E:$E,'Mayo 25'!$A:$A,A5)</f>
        <v/>
      </c>
      <c r="E58">
        <f>+C5-D5</f>
        <v/>
      </c>
    </row>
    <row r="59">
      <c r="A59" t="inlineStr">
        <is>
          <t>4100000004</t>
        </is>
      </c>
      <c r="B59" t="inlineStr">
        <is>
          <t>PUBLICIDAD ALBA EVENTOS</t>
        </is>
      </c>
      <c r="C59">
        <f>SUMIFS('Mayo 25'!$D:$D,'Mayo 25'!$A:$A,A5)</f>
        <v/>
      </c>
      <c r="D59">
        <f>SUMIFS('Mayo 25'!$E:$E,'Mayo 25'!$A:$A,A5)</f>
        <v/>
      </c>
      <c r="E59">
        <f>+C5-D5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2026-05-21T10:21:11Z</dcterms:created>
  <dcterms:modified xmlns:dcterms="http://purl.org/dc/terms/" xmlns:xsi="http://www.w3.org/2001/XMLSchema-instance" xsi:type="dcterms:W3CDTF">2026-05-21T10:21:11Z</dcterms:modified>
</cp:coreProperties>
</file>